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mc:AlternateContent xmlns:mc="http://schemas.openxmlformats.org/markup-compatibility/2006">
    <mc:Choice Requires="x15">
      <x15ac:absPath xmlns:x15ac="http://schemas.microsoft.com/office/spreadsheetml/2010/11/ac" url="C:\Users\ASUS TUF GAMING\Web-Storytelling2\output_bab4\validasi\"/>
    </mc:Choice>
  </mc:AlternateContent>
  <xr:revisionPtr revIDLastSave="0" documentId="13_ncr:1_{8592EB1C-6219-4377-9C4F-4241B21B57AA}" xr6:coauthVersionLast="47" xr6:coauthVersionMax="47" xr10:uidLastSave="{00000000-0000-0000-0000-000000000000}"/>
  <bookViews>
    <workbookView xWindow="1776" yWindow="1776" windowWidth="17280" windowHeight="8880" xr2:uid="{00000000-000D-0000-FFFF-FFFF00000000}"/>
  </bookViews>
  <sheets>
    <sheet name="Validasi TAS" sheetId="1" r:id="rId1"/>
    <sheet name="Hotspot" sheetId="2" r:id="rId2"/>
    <sheet name="Petunjuk"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265" i="1" l="1"/>
  <c r="W264" i="1"/>
  <c r="W263" i="1"/>
  <c r="W262" i="1"/>
  <c r="W261" i="1"/>
  <c r="W260" i="1"/>
  <c r="W259" i="1"/>
  <c r="W258" i="1"/>
  <c r="W257" i="1"/>
  <c r="W256" i="1"/>
  <c r="W255" i="1"/>
  <c r="W254" i="1"/>
  <c r="W253" i="1"/>
  <c r="W252"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9" i="1"/>
  <c r="W168" i="1"/>
  <c r="W167" i="1"/>
  <c r="W166" i="1"/>
  <c r="W165" i="1"/>
  <c r="W164" i="1"/>
  <c r="W163"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W2" i="1"/>
</calcChain>
</file>

<file path=xl/sharedStrings.xml><?xml version="1.0" encoding="utf-8"?>
<sst xmlns="http://schemas.openxmlformats.org/spreadsheetml/2006/main" count="3549" uniqueCount="879">
  <si>
    <t>id_grid</t>
  </si>
  <si>
    <t>id_grid_asli</t>
  </si>
  <si>
    <t>level</t>
  </si>
  <si>
    <t>Hotspot</t>
  </si>
  <si>
    <t>Lat centroid</t>
  </si>
  <si>
    <t>Lon centroid</t>
  </si>
  <si>
    <t>TES terdekat</t>
  </si>
  <si>
    <t>Kategori TES</t>
  </si>
  <si>
    <t>Lat TES</t>
  </si>
  <si>
    <t>Lon TES</t>
  </si>
  <si>
    <t>T_ideal (menit)</t>
  </si>
  <si>
    <t>T_aktual (menit)</t>
  </si>
  <si>
    <t>DI_t</t>
  </si>
  <si>
    <t>Cek T_aktual (hitung ulang)</t>
  </si>
  <si>
    <t>Atribusi banjir</t>
  </si>
  <si>
    <t>Waktu Baseline ke TES sama (menit)</t>
  </si>
  <si>
    <t>Tambahan waktu akibat penutupan (menit)</t>
  </si>
  <si>
    <t>Google Maps centroid</t>
  </si>
  <si>
    <t>Google Maps TES</t>
  </si>
  <si>
    <t>Peta</t>
  </si>
  <si>
    <t>Kode utama</t>
  </si>
  <si>
    <t>Kode tambahan</t>
  </si>
  <si>
    <t>Valid</t>
  </si>
  <si>
    <t>Status isian</t>
  </si>
  <si>
    <t>Penyebab (teks)</t>
  </si>
  <si>
    <t>Catatan</t>
  </si>
  <si>
    <t>555</t>
  </si>
  <si>
    <t>Baseline</t>
  </si>
  <si>
    <t>H03</t>
  </si>
  <si>
    <t>SLB Rela Bhakti II Wates (C)</t>
  </si>
  <si>
    <t>Pendidikan</t>
  </si>
  <si>
    <t>sama</t>
  </si>
  <si>
    <t>https://www.google.com/maps/search/?api=1&amp;query=-7.883654,110.143684</t>
  </si>
  <si>
    <t>https://www.google.com/maps/search/?api=1&amp;query=-7.882983,110.141390</t>
  </si>
  <si>
    <t>peta/baseline_256.png</t>
  </si>
  <si>
    <t>A Sungai/waduk</t>
  </si>
  <si>
    <t>perlu konfirmasi peneliti</t>
  </si>
  <si>
    <t>Memang jalan memutar karena grid dan TES terpisah oleh sungai serang dan rute yang dilalui sudah melewati jembatan terdekat</t>
  </si>
  <si>
    <t>1553</t>
  </si>
  <si>
    <t>Masjid Baiturrohman</t>
  </si>
  <si>
    <t>Tempat Ibadah</t>
  </si>
  <si>
    <t>https://www.google.com/maps/search/?api=1&amp;query=-7.880040,110.145505</t>
  </si>
  <si>
    <t>https://www.google.com/maps/search/?api=1&amp;query=-7.880232,110.142826</t>
  </si>
  <si>
    <t>peta/baseline_712.png</t>
  </si>
  <si>
    <t>2556</t>
  </si>
  <si>
    <t>H01</t>
  </si>
  <si>
    <t>Masjid AL ANWAR.PALIHAN 1</t>
  </si>
  <si>
    <t>https://www.google.com/maps/search/?api=1&amp;query=-7.896115,110.050226</t>
  </si>
  <si>
    <t>https://www.google.com/maps/search/?api=1&amp;query=-7.893593,110.052037</t>
  </si>
  <si>
    <t>peta/baseline_1152.png</t>
  </si>
  <si>
    <t>perlu divalidasi</t>
  </si>
  <si>
    <t>Arsip v5 (T_aktual berubah +2.08 menit; tidak dipakai untuk kode) — Penyebab: Memang jalan memutar karena grid berada di kawasan bandara internasional Yogyakarta</t>
  </si>
  <si>
    <t>2667</t>
  </si>
  <si>
    <t>H02</t>
  </si>
  <si>
    <t>Kantor Desa Wisata Glagah</t>
  </si>
  <si>
    <t>Pemerintahan</t>
  </si>
  <si>
    <t>https://www.google.com/maps/search/?api=1&amp;query=-7.904302,110.071071</t>
  </si>
  <si>
    <t>https://www.google.com/maps/search/?api=1&amp;query=-7.903177,110.072831</t>
  </si>
  <si>
    <t>peta/baseline_1198.png</t>
  </si>
  <si>
    <t>6768</t>
  </si>
  <si>
    <t>H04</t>
  </si>
  <si>
    <t>SMP VIP PESAWAT</t>
  </si>
  <si>
    <t>https://www.google.com/maps/search/?api=1&amp;query=-7.872812,110.149148</t>
  </si>
  <si>
    <t>https://www.google.com/maps/search/?api=1&amp;query=-7.872052,110.150730</t>
  </si>
  <si>
    <t>peta/baseline_3043.png</t>
  </si>
  <si>
    <t>6843</t>
  </si>
  <si>
    <t>H12</t>
  </si>
  <si>
    <t>Sendangsari Badminton Arena (SBA)</t>
  </si>
  <si>
    <t>GOR/Gedung Serbaguna</t>
  </si>
  <si>
    <t>https://www.google.com/maps/search/?api=1&amp;query=-7.826715,110.164661</t>
  </si>
  <si>
    <t>https://www.google.com/maps/search/?api=1&amp;query=-7.826649,110.161965</t>
  </si>
  <si>
    <t>peta/baseline_3083.png</t>
  </si>
  <si>
    <t>Memang jalan memutar karena grid dan TES terpisah oleh sungai ngesong dan rute yang dilalui sudah melewati jembatan terdekat</t>
  </si>
  <si>
    <t>9416</t>
  </si>
  <si>
    <t>H05</t>
  </si>
  <si>
    <t>Gedung IPHI Pengasih</t>
  </si>
  <si>
    <t>https://www.google.com/maps/search/?api=1&amp;query=-7.859285,110.169131</t>
  </si>
  <si>
    <t>https://www.google.com/maps/search/?api=1&amp;query=-7.857944,110.171546</t>
  </si>
  <si>
    <t>peta/baseline_4254.png</t>
  </si>
  <si>
    <t>9916</t>
  </si>
  <si>
    <t>H08</t>
  </si>
  <si>
    <t>SD Clereng</t>
  </si>
  <si>
    <t>https://www.google.com/maps/search/?api=1&amp;query=-7.822176,110.156507</t>
  </si>
  <si>
    <t>https://www.google.com/maps/search/?api=1&amp;query=-7.824968,110.154332</t>
  </si>
  <si>
    <t>peta/baseline_4484.png</t>
  </si>
  <si>
    <t>12137</t>
  </si>
  <si>
    <t>https://www.google.com/maps/search/?api=1&amp;query=-7.822175,110.155600</t>
  </si>
  <si>
    <t>peta/baseline_5481.png</t>
  </si>
  <si>
    <t>13444</t>
  </si>
  <si>
    <t>https://www.google.com/maps/search/?api=1&amp;query=-7.871905,110.148243</t>
  </si>
  <si>
    <t>peta/baseline_6084.png</t>
  </si>
  <si>
    <t>14320</t>
  </si>
  <si>
    <t>https://www.google.com/maps/search/?api=1&amp;query=-7.877325,110.144604</t>
  </si>
  <si>
    <t>peta/baseline_6480.png</t>
  </si>
  <si>
    <t>14416</t>
  </si>
  <si>
    <t>MASJID BANGUN UMMAH</t>
  </si>
  <si>
    <t>https://www.google.com/maps/search/?api=1&amp;query=-7.861993,110.166404</t>
  </si>
  <si>
    <t>https://www.google.com/maps/search/?api=1&amp;query=-7.858997,110.165148</t>
  </si>
  <si>
    <t>peta/baseline_6528.png</t>
  </si>
  <si>
    <t>15993</t>
  </si>
  <si>
    <t>https://www.google.com/maps/search/?api=1&amp;query=-7.870999,110.147338</t>
  </si>
  <si>
    <t>peta/baseline_7232.png</t>
  </si>
  <si>
    <t>16354</t>
  </si>
  <si>
    <t>https://www.google.com/maps/search/?api=1&amp;query=-7.823079,110.155598</t>
  </si>
  <si>
    <t>peta/baseline_7393.png</t>
  </si>
  <si>
    <t>16958</t>
  </si>
  <si>
    <t>https://www.google.com/maps/search/?api=1&amp;query=-7.861090,110.167313</t>
  </si>
  <si>
    <t>peta/baseline_7644.png</t>
  </si>
  <si>
    <t>17351</t>
  </si>
  <si>
    <t>H16</t>
  </si>
  <si>
    <t>Masjid Al-Ihsan</t>
  </si>
  <si>
    <t>https://www.google.com/maps/search/?api=1&amp;query=-7.766114,110.163874</t>
  </si>
  <si>
    <t>https://www.google.com/maps/search/?api=1&amp;query=-7.764415,110.166323</t>
  </si>
  <si>
    <t>peta/baseline_7834.png</t>
  </si>
  <si>
    <t>C Topografi perbukitan</t>
  </si>
  <si>
    <t>H TES lebih dekat tidak tercatat</t>
  </si>
  <si>
    <t>Berada di kawasan cerukan lembah dengan elevasi sekitar 400 hingga 600 mdpl dan karakteristik jalan yang khas seperti di jalur perbukitan menoreh yang mengikuti lekukan kontur bukit</t>
  </si>
  <si>
    <t>Sebenarnya ada TES yang paling dekat, berupa masjid di sekitar daerah tersebut. Namun, kemungkinan tidak ikut terscraping</t>
  </si>
  <si>
    <t>17400</t>
  </si>
  <si>
    <t>https://www.google.com/maps/search/?api=1&amp;query=-7.871904,110.147336</t>
  </si>
  <si>
    <t>peta/baseline_7857.png</t>
  </si>
  <si>
    <t>18299</t>
  </si>
  <si>
    <t>H17</t>
  </si>
  <si>
    <t>Masjid Al Iman</t>
  </si>
  <si>
    <t>https://www.google.com/maps/search/?api=1&amp;query=-7.843920,110.174604</t>
  </si>
  <si>
    <t>https://www.google.com/maps/search/?api=1&amp;query=-7.845358,110.172320</t>
  </si>
  <si>
    <t>peta/baseline_8286.png</t>
  </si>
  <si>
    <t>18849</t>
  </si>
  <si>
    <t>https://www.google.com/maps/search/?api=1&amp;query=-7.880038,110.144598</t>
  </si>
  <si>
    <t>peta/baseline_8538.png</t>
  </si>
  <si>
    <t>19345</t>
  </si>
  <si>
    <t>H18</t>
  </si>
  <si>
    <t>Masjid At Taqwa</t>
  </si>
  <si>
    <t>https://www.google.com/maps/search/?api=1&amp;query=-7.760728,110.184742</t>
  </si>
  <si>
    <t>https://www.google.com/maps/search/?api=1&amp;query=-7.757942,110.186248</t>
  </si>
  <si>
    <t>peta/baseline_8750.png</t>
  </si>
  <si>
    <t>Berada di kawasan lembah dengan elevasi sekitar 250 hingga 350 mdpl dan karakteristik jalan yang khas seperti di jalur perbukitan menoreh yang mengikuti lekukan kontur bukit</t>
  </si>
  <si>
    <t>19806</t>
  </si>
  <si>
    <t>https://www.google.com/maps/search/?api=1&amp;query=-7.880943,110.144596</t>
  </si>
  <si>
    <t>peta/baseline_8934.png</t>
  </si>
  <si>
    <t>19851</t>
  </si>
  <si>
    <t>https://www.google.com/maps/search/?api=1&amp;query=-7.860187,110.168222</t>
  </si>
  <si>
    <t>peta/baseline_8955.png</t>
  </si>
  <si>
    <t>20089</t>
  </si>
  <si>
    <t>https://www.google.com/maps/search/?api=1&amp;query=-7.879134,110.144600</t>
  </si>
  <si>
    <t>peta/baseline_9061.png</t>
  </si>
  <si>
    <t>21542</t>
  </si>
  <si>
    <t>H19</t>
  </si>
  <si>
    <t>Masjid Al-Huda</t>
  </si>
  <si>
    <t>https://www.google.com/maps/search/?api=1&amp;query=-7.821181,110.112068</t>
  </si>
  <si>
    <t>https://www.google.com/maps/search/?api=1&amp;query=-7.819909,110.112674</t>
  </si>
  <si>
    <t>peta/baseline_9702.png</t>
  </si>
  <si>
    <t>E Jaringan OSM tidak lengkap</t>
  </si>
  <si>
    <t>Jika menganut jaringan jalan yang ada di google maps, maka sebenarnya tidak perlu memutar. Kemungkinan karena kurang lengkapnya jaringan jalan yang ada di google maps, sehingga rute mengikuti ketersediaan jaringan jalan OSM</t>
  </si>
  <si>
    <t>22476</t>
  </si>
  <si>
    <t>https://www.google.com/maps/search/?api=1&amp;query=-7.897021,110.051131</t>
  </si>
  <si>
    <t>peta/baseline_10114.png</t>
  </si>
  <si>
    <t>B Kawasan tertutup/bandara</t>
  </si>
  <si>
    <t>Memang jalan memutar karena grid berada di kawasan bandara internasional Yogyakarta</t>
  </si>
  <si>
    <t>22957</t>
  </si>
  <si>
    <t>https://www.google.com/maps/search/?api=1&amp;query=-7.825811,110.164663</t>
  </si>
  <si>
    <t>peta/baseline_10293.png</t>
  </si>
  <si>
    <t>23601</t>
  </si>
  <si>
    <t>H20</t>
  </si>
  <si>
    <t>Masjid Ar Rahmah</t>
  </si>
  <si>
    <t>https://www.google.com/maps/search/?api=1&amp;query=-7.803174,110.152011</t>
  </si>
  <si>
    <t>https://www.google.com/maps/search/?api=1&amp;query=-7.805423,110.150704</t>
  </si>
  <si>
    <t>peta/baseline_10545.png</t>
  </si>
  <si>
    <t>Jika menganut jaringan jalan yang ada di google maps, maka sebenarnya tidak perlu memutar sejauh itu. Kemungkinan karena kurang lengkapnya jaringan jalan yang ada di google maps, sehingga rute mengikuti ketersediaan jaringan jalan OSM. Lalu, terdapat tempat ibadah juga yang lebih dekat namun tidak ikut terscraping</t>
  </si>
  <si>
    <t>25379</t>
  </si>
  <si>
    <t>H06</t>
  </si>
  <si>
    <t>Masjid al afwa</t>
  </si>
  <si>
    <t>https://www.google.com/maps/search/?api=1&amp;query=-7.912765,110.229805</t>
  </si>
  <si>
    <t>https://www.google.com/maps/search/?api=1&amp;query=-7.910415,110.228884</t>
  </si>
  <si>
    <t>peta/baseline_11219.png</t>
  </si>
  <si>
    <t>[v6] Kode F dari teks v5 tidak dibawa: snapping sudah diperbaiki, tetapi grid masih TAS. Jika menganut jaringan jalan yang ada di google maps, maka sebenarnya tidak perlu memutar sejauh itu. Hal ini dikarenakan ruas snapping pada TES malah menuju sisi yang mengharuskan rute memutar.</t>
  </si>
  <si>
    <t>26960</t>
  </si>
  <si>
    <t>H22</t>
  </si>
  <si>
    <t>Masjid At Taubah</t>
  </si>
  <si>
    <t>https://www.google.com/maps/search/?api=1&amp;query=-7.813941,110.110270</t>
  </si>
  <si>
    <t>https://www.google.com/maps/search/?api=1&amp;query=-7.812179,110.113256</t>
  </si>
  <si>
    <t>peta/baseline_11746.png</t>
  </si>
  <si>
    <t>Memang jalan memutar karena grid dan TES terpisah oleh waduk sermo dan rute yang dilalui sudah melewati jembatan terdekat, yaitu jembatan kedung dawa</t>
  </si>
  <si>
    <t>30113</t>
  </si>
  <si>
    <t>H23</t>
  </si>
  <si>
    <t>DKM Masjid Muqorrobin</t>
  </si>
  <si>
    <t>https://www.google.com/maps/search/?api=1&amp;query=-7.789598,110.147503</t>
  </si>
  <si>
    <t>https://www.google.com/maps/search/?api=1&amp;query=-7.786417,110.147567</t>
  </si>
  <si>
    <t>peta/baseline_12710.png</t>
  </si>
  <si>
    <t>31729</t>
  </si>
  <si>
    <t>H13</t>
  </si>
  <si>
    <t>SD Negeri Jumblangan</t>
  </si>
  <si>
    <t>https://www.google.com/maps/search/?api=1&amp;query=-7.692834,110.154951</t>
  </si>
  <si>
    <t>https://www.google.com/maps/search/?api=1&amp;query=-7.691147,110.154083</t>
  </si>
  <si>
    <t>peta/baseline_13173.png</t>
  </si>
  <si>
    <t>33484</t>
  </si>
  <si>
    <t>H07</t>
  </si>
  <si>
    <t>MASJID-AL HIKMAH</t>
  </si>
  <si>
    <t>https://www.google.com/maps/search/?api=1&amp;query=-7.731791,110.188425</t>
  </si>
  <si>
    <t>https://www.google.com/maps/search/?api=1&amp;query=-7.733637,110.186243</t>
  </si>
  <si>
    <t>peta/baseline_13621.png</t>
  </si>
  <si>
    <t>34743</t>
  </si>
  <si>
    <t>H25</t>
  </si>
  <si>
    <t>Masjid At Taqwa Darul Arifin</t>
  </si>
  <si>
    <t>https://www.google.com/maps/search/?api=1&amp;query=-7.755283,110.175684</t>
  </si>
  <si>
    <t>https://www.google.com/maps/search/?api=1&amp;query=-7.754016,110.176027</t>
  </si>
  <si>
    <t>peta/baseline_13946.png</t>
  </si>
  <si>
    <t>34929</t>
  </si>
  <si>
    <t>https://www.google.com/maps/search/?api=1&amp;query=-7.896119,110.052040</t>
  </si>
  <si>
    <t>peta/baseline_13989.png</t>
  </si>
  <si>
    <t>35825</t>
  </si>
  <si>
    <t>GKBI Palihan (Selong)</t>
  </si>
  <si>
    <t>https://www.google.com/maps/search/?api=1&amp;query=-7.897028,110.053852</t>
  </si>
  <si>
    <t>https://www.google.com/maps/search/?api=1&amp;query=-7.896118,110.054667</t>
  </si>
  <si>
    <t>peta/baseline_14225.png</t>
  </si>
  <si>
    <t>35948</t>
  </si>
  <si>
    <t>https://www.google.com/maps/search/?api=1&amp;query=-7.896121,110.052947</t>
  </si>
  <si>
    <t>peta/baseline_14254.png</t>
  </si>
  <si>
    <t>Arsip v5 (T_aktual berubah -1.05 menit; tidak dipakai untuk kode) — Penyebab: Memang jalan memutar karena grid berada di kawasan bandara internasional Yogyakarta</t>
  </si>
  <si>
    <t>37156</t>
  </si>
  <si>
    <t>Masjid Ta'zimah Ngroto</t>
  </si>
  <si>
    <t>https://www.google.com/maps/search/?api=1&amp;query=-7.728170,110.186618</t>
  </si>
  <si>
    <t>https://www.google.com/maps/search/?api=1&amp;query=-7.728007,110.186293</t>
  </si>
  <si>
    <t>peta/baseline_14598.png</t>
  </si>
  <si>
    <t>[v6] Kode F dari teks v5 tidak dibawa: snapping sudah diperbaiki, tetapi grid masih TAS. Terdapat kesalahan pada snapping sehingga menyebabkan rute menjadi memutar. Seharusnya bisa langsung disnapping ke TES</t>
  </si>
  <si>
    <t>38076</t>
  </si>
  <si>
    <t>https://www.google.com/maps/search/?api=1&amp;query=-7.898836,110.053848</t>
  </si>
  <si>
    <t>peta/baseline_14867.png</t>
  </si>
  <si>
    <t>40747</t>
  </si>
  <si>
    <t>H09</t>
  </si>
  <si>
    <t>Masjid AL-HIDAYAH PALIHAN</t>
  </si>
  <si>
    <t>https://www.google.com/maps/search/?api=1&amp;query=-7.896131,110.057482</t>
  </si>
  <si>
    <t>https://www.google.com/maps/search/?api=1&amp;query=-7.895642,110.058012</t>
  </si>
  <si>
    <t>peta/baseline_15595.png</t>
  </si>
  <si>
    <t>42084</t>
  </si>
  <si>
    <t>H10</t>
  </si>
  <si>
    <t>Masjid Nurul Iklas</t>
  </si>
  <si>
    <t>https://www.google.com/maps/search/?api=1&amp;query=-7.910756,110.128206</t>
  </si>
  <si>
    <t>https://www.google.com/maps/search/?api=1&amp;query=-7.908012,110.129045</t>
  </si>
  <si>
    <t>peta/baseline_16007.png</t>
  </si>
  <si>
    <t>Memang jalan memutar karena grid dan TES terpisah oleh sungai Carik dan rute yang dilalui sudah melewati jembatan terdekat</t>
  </si>
  <si>
    <t>42448</t>
  </si>
  <si>
    <t>https://www.google.com/maps/search/?api=1&amp;query=-7.897928,110.052036</t>
  </si>
  <si>
    <t>peta/baseline_16123.png</t>
  </si>
  <si>
    <t>42758</t>
  </si>
  <si>
    <t>https://www.google.com/maps/search/?api=1&amp;query=-7.731790,110.187518</t>
  </si>
  <si>
    <t>peta/baseline_16216.png</t>
  </si>
  <si>
    <t>[v6] Kode F dari teks v5 tidak dibawa: snapping sudah diperbaiki, tetapi grid masih TAS. Terdapat kesalahan pada snapping sehingga menyebabkan rute menjadi memutar. Seharusnya bisa langsung disnapping ke jaringan jalan yang memang dekat dengan TES. Lalu, memang terdapat keterbatasan jaringan jalan yang dimiliki oleh OSM dibandingkan dengan Google Maps, sehingga rute yang dilalui harus memutar sekali</t>
  </si>
  <si>
    <t>43527</t>
  </si>
  <si>
    <t>https://www.google.com/maps/search/?api=1&amp;query=-7.729979,110.186615</t>
  </si>
  <si>
    <t>peta/baseline_16438.png</t>
  </si>
  <si>
    <t>44202</t>
  </si>
  <si>
    <t>H26</t>
  </si>
  <si>
    <t>SDN Suroloyo</t>
  </si>
  <si>
    <t>https://www.google.com/maps/search/?api=1&amp;query=-7.647678,110.190398</t>
  </si>
  <si>
    <t>https://www.google.com/maps/search/?api=1&amp;query=-7.648467,110.188632</t>
  </si>
  <si>
    <t>peta/baseline_16619.png</t>
  </si>
  <si>
    <t>Terdapat keterbatasan jaringan jalan yang dimiliki oleh OSM dibandingkan dengan Google Maps, sehingga rute memutar sangat jauh</t>
  </si>
  <si>
    <t>46048</t>
  </si>
  <si>
    <t>H28</t>
  </si>
  <si>
    <t>SD Negeri Mangunan Baru</t>
  </si>
  <si>
    <t>https://www.google.com/maps/search/?api=1&amp;query=-7.900833,110.140927</t>
  </si>
  <si>
    <t>https://www.google.com/maps/search/?api=1&amp;query=-7.901090,110.144181</t>
  </si>
  <si>
    <t>peta/baseline_17227.png</t>
  </si>
  <si>
    <t>[v6] Kode F dari teks v5 tidak dibawa: snapping sudah diperbaiki, tetapi grid masih TAS. Terdapat kesalahan pada snapping. Snapping malah tidak memilih ruas jaringan jalan terdekat</t>
  </si>
  <si>
    <t>46233</t>
  </si>
  <si>
    <t>https://www.google.com/maps/search/?api=1&amp;query=-7.903393,110.069259</t>
  </si>
  <si>
    <t>peta/baseline_17290.png</t>
  </si>
  <si>
    <t>46543</t>
  </si>
  <si>
    <t>H29</t>
  </si>
  <si>
    <t>Masjid Istiqomah 2</t>
  </si>
  <si>
    <t>https://www.google.com/maps/search/?api=1&amp;query=-7.715479,110.172134</t>
  </si>
  <si>
    <t>https://www.google.com/maps/search/?api=1&amp;query=-7.717685,110.171439</t>
  </si>
  <si>
    <t>peta/baseline_17409.png</t>
  </si>
  <si>
    <t>Daerah terletak di perbukitan Menoreh dengan elevasi sekitar 600 hingga 700 mdpl. Memiliki struktur jalan yang melekuk-lekuk sehingga memang harus memutar</t>
  </si>
  <si>
    <t>46616</t>
  </si>
  <si>
    <t>https://www.google.com/maps/search/?api=1&amp;query=-7.912763,110.228897</t>
  </si>
  <si>
    <t>peta/baseline_17432.png</t>
  </si>
  <si>
    <t>[v6] Kode F dari teks v5 tidak dibawa: snapping sudah diperbaiki, tetapi grid masih TAS. Terdapat kesalahan pada snapping. Snapping malah tidak memilih ruas jaringan jalan terdekat. Lalu, terdapat keterbatasan jaringan jalan yang dimiliki OSM dibandingkan dengan Google Maps, sehingga rute harus memutar</t>
  </si>
  <si>
    <t>46982</t>
  </si>
  <si>
    <t>https://www.google.com/maps/search/?api=1&amp;query=-7.906115,110.072881</t>
  </si>
  <si>
    <t>peta/baseline_17558.png</t>
  </si>
  <si>
    <t>47298</t>
  </si>
  <si>
    <t>https://www.google.com/maps/search/?api=1&amp;query=-7.692832,110.154045</t>
  </si>
  <si>
    <t>peta/baseline_17663.png</t>
  </si>
  <si>
    <t>47851</t>
  </si>
  <si>
    <t>GKJ Palihan</t>
  </si>
  <si>
    <t>https://www.google.com/maps/search/?api=1&amp;query=-7.894320,110.056580</t>
  </si>
  <si>
    <t>https://www.google.com/maps/search/?api=1&amp;query=-7.895045,110.055478</t>
  </si>
  <si>
    <t>peta/baseline_17845.png</t>
  </si>
  <si>
    <t>49014</t>
  </si>
  <si>
    <t>https://www.google.com/maps/search/?api=1&amp;query=-7.895210,110.050228</t>
  </si>
  <si>
    <t>peta/baseline_18237.png</t>
  </si>
  <si>
    <t>49141</t>
  </si>
  <si>
    <t>https://www.google.com/maps/search/?api=1&amp;query=-7.906113,110.071974</t>
  </si>
  <si>
    <t>peta/baseline_18284.png</t>
  </si>
  <si>
    <t>49938</t>
  </si>
  <si>
    <t>https://www.google.com/maps/search/?api=1&amp;query=-7.913668,110.228896</t>
  </si>
  <si>
    <t>peta/baseline_18583.png</t>
  </si>
  <si>
    <t>50918</t>
  </si>
  <si>
    <t>https://www.google.com/maps/search/?api=1&amp;query=-7.910758,110.129113</t>
  </si>
  <si>
    <t>peta/baseline_18975.png</t>
  </si>
  <si>
    <t>52643</t>
  </si>
  <si>
    <t>https://www.google.com/maps/search/?api=1&amp;query=-7.906111,110.071067</t>
  </si>
  <si>
    <t>peta/baseline_19702.png</t>
  </si>
  <si>
    <t>52819</t>
  </si>
  <si>
    <t>https://www.google.com/maps/search/?api=1&amp;query=-7.905206,110.071069</t>
  </si>
  <si>
    <t>peta/baseline_19779.png</t>
  </si>
  <si>
    <t>53493</t>
  </si>
  <si>
    <t>https://www.google.com/maps/search/?api=1&amp;query=-7.897023,110.052038</t>
  </si>
  <si>
    <t>peta/baseline_20081.png</t>
  </si>
  <si>
    <t>Arsip v5 (T_aktual berubah -3.14 menit; tidak dipakai untuk kode) — Penyebab: Memang jalan memutar karena grid berada di kawasan bandara internasional Yogyakarta; Catatan: Terdapat kesalahan pada snapping. Snapping malah tidak memilih ruas jaringan jalan terdekat</t>
  </si>
  <si>
    <t>55304</t>
  </si>
  <si>
    <t>https://www.google.com/maps/search/?api=1&amp;query=-7.898834,110.052941</t>
  </si>
  <si>
    <t>peta/baseline_20950.png</t>
  </si>
  <si>
    <t>55388</t>
  </si>
  <si>
    <t>H14</t>
  </si>
  <si>
    <t>GKJ Temon Pepantan Glagah</t>
  </si>
  <si>
    <t>https://www.google.com/maps/search/?api=1&amp;query=-7.908834,110.075596</t>
  </si>
  <si>
    <t>https://www.google.com/maps/search/?api=1&amp;query=-7.907210,110.077453</t>
  </si>
  <si>
    <t>peta/baseline_20989.png</t>
  </si>
  <si>
    <t>55447</t>
  </si>
  <si>
    <t>https://www.google.com/maps/search/?api=1&amp;query=-7.910754,110.127299</t>
  </si>
  <si>
    <t>peta/baseline_21020.png</t>
  </si>
  <si>
    <t>56173</t>
  </si>
  <si>
    <t>https://www.google.com/maps/search/?api=1&amp;query=-7.913669,110.229803</t>
  </si>
  <si>
    <t>peta/baseline_21384.png</t>
  </si>
  <si>
    <t>56253</t>
  </si>
  <si>
    <t>https://www.google.com/maps/search/?api=1&amp;query=-7.897025,110.052945</t>
  </si>
  <si>
    <t>peta/baseline_21421.png</t>
  </si>
  <si>
    <t>56639</t>
  </si>
  <si>
    <t>https://www.google.com/maps/search/?api=1&amp;query=-7.895212,110.051135</t>
  </si>
  <si>
    <t>peta/baseline_21632.png</t>
  </si>
  <si>
    <t>56703</t>
  </si>
  <si>
    <t>https://www.google.com/maps/search/?api=1&amp;query=-7.909744,110.078316</t>
  </si>
  <si>
    <t>peta/baseline_21663.png</t>
  </si>
  <si>
    <t>56824</t>
  </si>
  <si>
    <t>https://www.google.com/maps/search/?api=1&amp;query=-7.896117,110.051133</t>
  </si>
  <si>
    <t>peta/baseline_21723.png</t>
  </si>
  <si>
    <t>57614</t>
  </si>
  <si>
    <t>https://www.google.com/maps/search/?api=1&amp;query=-7.896133,110.058390</t>
  </si>
  <si>
    <t>peta/baseline_22148.png</t>
  </si>
  <si>
    <t>58545</t>
  </si>
  <si>
    <t>https://www.google.com/maps/search/?api=1&amp;query=-7.905208,110.071976</t>
  </si>
  <si>
    <t>peta/baseline_22663.png</t>
  </si>
  <si>
    <t>Rendah</t>
  </si>
  <si>
    <t>tidak berubah</t>
  </si>
  <si>
    <t>peta/rendah_256.png</t>
  </si>
  <si>
    <t>otomatis</t>
  </si>
  <si>
    <t>peta/rendah_712.png</t>
  </si>
  <si>
    <t>peta/rendah_1152.png</t>
  </si>
  <si>
    <t>diperparah banjir</t>
  </si>
  <si>
    <t>peta/rendah_1198.png</t>
  </si>
  <si>
    <t>G Penutupan ruas akibat banjir</t>
  </si>
  <si>
    <t>peta/rendah_3043.png</t>
  </si>
  <si>
    <t>peta/rendah_3083.png</t>
  </si>
  <si>
    <t>7946</t>
  </si>
  <si>
    <t>Mi Muhammadiyah Garongan</t>
  </si>
  <si>
    <t>dipicu banjir</t>
  </si>
  <si>
    <t>https://www.google.com/maps/search/?api=1&amp;query=-7.929750,110.128166</t>
  </si>
  <si>
    <t>https://www.google.com/maps/search/?api=1&amp;query=-7.927862,110.128547</t>
  </si>
  <si>
    <t>peta/rendah_3591.png</t>
  </si>
  <si>
    <t>Daerah pesisir dan berada di kawasan permukiman/pertanian. Karakteristik jalan yang dimiliki juga tidak padat, sehingga rute sudah sesuai dengan ketersediaan jaringan jalan OSM</t>
  </si>
  <si>
    <t>Seharusnya opsi rute bisa lebih dekat, namun karena perbedaan jaringan jalan antara OSM dan Google Maps</t>
  </si>
  <si>
    <t>peta/rendah_4254.png</t>
  </si>
  <si>
    <t>peta/rendah_4484.png</t>
  </si>
  <si>
    <t>Merupakan daerah cekungan lembah berbukit dengan akses jalan yang memiliki karakteristik khas daerah perbukitan, meliuk-liuk. Sehingga sudah sesuai</t>
  </si>
  <si>
    <t>peta/rendah_5481.png</t>
  </si>
  <si>
    <t>peta/rendah_6084.png</t>
  </si>
  <si>
    <t>peta/rendah_6480.png</t>
  </si>
  <si>
    <t>peta/rendah_6528.png</t>
  </si>
  <si>
    <t>peta/rendah_7232.png</t>
  </si>
  <si>
    <t>peta/rendah_7393.png</t>
  </si>
  <si>
    <t>peta/rendah_7644.png</t>
  </si>
  <si>
    <t>peta/rendah_7834.png</t>
  </si>
  <si>
    <t>Terletak pada lembah kaki perbukitan menoreh dengan elevasi 150 hingga 200 mdpl. Dengan karakteristik jalan yang meliuk-liuk mengikuti kontur perbukitan. Jadi memang sudah sesuai dengan jaringan jalan yang tersedia dari OSM</t>
  </si>
  <si>
    <t>Jika menganut jaringan jalan dari Google Maps, rute bisa lebih dekat. Lalu, terdapat TES yang lebih dekat juga dari centroid yang kemungkinan tidak terscraping</t>
  </si>
  <si>
    <t>peta/rendah_7857.png</t>
  </si>
  <si>
    <t>peta/rendah_8286.png</t>
  </si>
  <si>
    <t>peta/rendah_8538.png</t>
  </si>
  <si>
    <t>peta/rendah_8750.png</t>
  </si>
  <si>
    <t>Berada pada dataran aluvial dengan elevasi 100 hingga 120 mdpl dengan bentang alam yang subur. Akses jalan memang sesuai karena ketersediaan jalan yang tidak begitu padat dan jalan yang meliuk-liuk.</t>
  </si>
  <si>
    <t>Terdapat TES yang lebih dekat namun sepertinya tidak ikut terscraping, sehingga rutenya menjadi jauh</t>
  </si>
  <si>
    <t>peta/rendah_8934.png</t>
  </si>
  <si>
    <t>peta/rendah_8955.png</t>
  </si>
  <si>
    <t>peta/rendah_9061.png</t>
  </si>
  <si>
    <t>peta/rendah_9702.png</t>
  </si>
  <si>
    <t>Daerah sekitar waduk sermo. Seharusnya bisa lebih dekat, namun karena keterbatasan jaringan jalan OSM, sehingga rute menjadi lebih memutar.</t>
  </si>
  <si>
    <t>peta/rendah_10114.png</t>
  </si>
  <si>
    <t>peta/rendah_10293.png</t>
  </si>
  <si>
    <t>peta/rendah_10545.png</t>
  </si>
  <si>
    <t>Berada di lembah perbukitan menoreh dengan elevasi sekitar 180 hingga 220 mdpl. Karakteristik jalan menyesuaikan dengan kondisi topografi tersebut yang meliuk-liuk mengikuti kontur perbukitan.</t>
  </si>
  <si>
    <t>Seharusnya bisa menemukan rute lebih cepat, namun karena ketersediaan jaringan jalan dai OSM sehingga rute menjadi memutar cukup jauh</t>
  </si>
  <si>
    <t>peta/rendah_11219.png</t>
  </si>
  <si>
    <t>Adanya keterbatasan jaringan jalan yang dimiliki OSM sehingga snapping ruas jalan dari centroid menuju jalan menjadi memilih opsi yang cukup jauh. Sehingga rutenya memutar, padahal bisa sangat dekat</t>
  </si>
  <si>
    <t>peta/rendah_11746.png</t>
  </si>
  <si>
    <t>Daerah sekitar waduk sermo. Seharusnya bisa lebih dekat, namun TES yang lebih dekat kemungkinan tidak ikut terscraping. Lalu keterbatasan jaringan jalan dari OSM sehingga rute menjadi memutar cukup jauh</t>
  </si>
  <si>
    <t>peta/rendah_12710.png</t>
  </si>
  <si>
    <t>Berada di daerah perbukitan menoreh dengan elevasi 250 hingga 300 mdpl. Karakteristik jalan yang meliuk-liuk mengikuti kontur perbukitan. Lalu, keterbatasan jaringan jalan dari OSM sehingga rute menjadi lebih jauh dibandingkan dengan Google Maps</t>
  </si>
  <si>
    <t>peta/rendah_13173.png</t>
  </si>
  <si>
    <t>Berada di daerah perbukitan menoreh dengan elevasi 160 hingga 180 mdpl. Karakteristik jalan yang meliuk-liuk mengikuti kontur perbukitan. Lalu, keterbatasan jaringan jalan dari OSM sehingga rute menjadi lebih jauh dibandingkan dengan Google Maps</t>
  </si>
  <si>
    <t>peta/rendah_13621.png</t>
  </si>
  <si>
    <t>Berada di daerah dataran aluvial lembah progo dengan elevasi 100 hingga 120 mdpl. Karakteristik jalan yang meliuk-liuk mengikuti kontur perbukitan. Lalu, keterbatasan jaringan jalan dari OSM sehingga rute menjadi lebih jauh dibandingkan dengan Google Maps</t>
  </si>
  <si>
    <t>peta/rendah_13946.png</t>
  </si>
  <si>
    <t>Berada di daerah dataran transisi kaki perbukitan menoreh dan dataran rendah nanggulan dengan elevasi 110 hingga 130 mdpl. Karakteristik jalan yang meliuk-liuk mengikuti kontur perbukitan. Lalu, keterbatasan jaringan jalan dari OSM sehingga rute menjadi lebih jauh dibandingkan dengan Google Maps</t>
  </si>
  <si>
    <t>peta/rendah_13989.png</t>
  </si>
  <si>
    <t>peta/rendah_14225.png</t>
  </si>
  <si>
    <t>peta/rendah_14254.png</t>
  </si>
  <si>
    <t>peta/rendah_14598.png</t>
  </si>
  <si>
    <t>Seharusnya rutenya bisa lebih dekat dengan snapping langsung dari centroid ke TES</t>
  </si>
  <si>
    <t>peta/rendah_14867.png</t>
  </si>
  <si>
    <t>peta/rendah_15595.png</t>
  </si>
  <si>
    <t>peta/rendah_16007.png</t>
  </si>
  <si>
    <t>peta/rendah_16123.png</t>
  </si>
  <si>
    <t>peta/rendah_16216.png</t>
  </si>
  <si>
    <t>Berada di daerah dataran rendah perbukitan dengan elevasi 110. Karakteristik jalan yang meliuk-liuk mengikuti kontur perbukitan. Lalu, keterbatasan jaringan jalan dari OSM sehingga rute menjadi lebih jauh dibandingkan dengan Google Maps</t>
  </si>
  <si>
    <t>43487</t>
  </si>
  <si>
    <t>https://www.google.com/maps/search/?api=1&amp;query=-7.930652,110.127257</t>
  </si>
  <si>
    <t>peta/rendah_16428.png</t>
  </si>
  <si>
    <t>peta/rendah_16438.png</t>
  </si>
  <si>
    <t>peta/rendah_16619.png</t>
  </si>
  <si>
    <t>Berada di daerah lembah sungai kaki perbukitan dengan elevasi 180 hingga 200 mdpl. Karakteristik jalan yang meliuk-liuk mengikuti kontur perbukitan. Lalu, keterbatasan jaringan jalan dari OSM sehingga rute menjadi lebih jauh dibandingkan dengan Google Maps</t>
  </si>
  <si>
    <t>peta/rendah_17227.png</t>
  </si>
  <si>
    <t>Ada opsi TES yang lebih dekat namun kemungkinan tidak ikut terscraping</t>
  </si>
  <si>
    <t>peta/rendah_17290.png</t>
  </si>
  <si>
    <t>peta/rendah_17409.png</t>
  </si>
  <si>
    <t>Berada di daerah perbukitan dengan elevasi 180 hingga 220 mdpl. Karakteristik jalan yang meliuk-liuk mengikuti kontur perbukitan. Rute sudah sesuai</t>
  </si>
  <si>
    <t>peta/rendah_17432.png</t>
  </si>
  <si>
    <t>Seharusnya rute bisa lebih dekat. Namun, karena keterbatasan jaringan jalan yang dimiliki OSM, sehingga rutenya menjadi lebih jauh</t>
  </si>
  <si>
    <t>peta/rendah_17558.png</t>
  </si>
  <si>
    <t>peta/rendah_17663.png</t>
  </si>
  <si>
    <t>Terletak pada daerah lereng lembah transisi dengan elevasi 170 hingga 190 mdpl. Seharusnya rute bisa lebih dekat, namun karena keterbatasan jaringan jalan sehingga rute menjadi lebih jauh</t>
  </si>
  <si>
    <t>peta/rendah_17845.png</t>
  </si>
  <si>
    <t>48899</t>
  </si>
  <si>
    <t>https://www.google.com/maps/search/?api=1&amp;query=-7.930654,110.128164</t>
  </si>
  <si>
    <t>peta/rendah_18192.png</t>
  </si>
  <si>
    <t>peta/rendah_18237.png</t>
  </si>
  <si>
    <t>peta/rendah_18284.png</t>
  </si>
  <si>
    <t>49710</t>
  </si>
  <si>
    <t>https://www.google.com/maps/search/?api=1&amp;query=-7.929748,110.127259</t>
  </si>
  <si>
    <t>peta/rendah_18497.png</t>
  </si>
  <si>
    <t>peta/rendah_18583.png</t>
  </si>
  <si>
    <t>peta/rendah_18975.png</t>
  </si>
  <si>
    <t>51616</t>
  </si>
  <si>
    <t>https://www.google.com/maps/search/?api=1&amp;query=-7.930650,110.126350</t>
  </si>
  <si>
    <t>peta/rendah_19256.png</t>
  </si>
  <si>
    <t>peta/rendah_19702.png</t>
  </si>
  <si>
    <t>peta/rendah_19779.png</t>
  </si>
  <si>
    <t>52831</t>
  </si>
  <si>
    <t>https://www.google.com/maps/search/?api=1&amp;query=-7.929746,110.126352</t>
  </si>
  <si>
    <t>peta/rendah_19787.png</t>
  </si>
  <si>
    <t>peta/rendah_20081.png</t>
  </si>
  <si>
    <t>Arsip v5 (T_aktual berubah -3.14 menit; tidak dipakai untuk kode) — Penyebab: Memang jalan memutar karena grid berada di kawasan bandara internasional Yogyakarta</t>
  </si>
  <si>
    <t>peta/rendah_20950.png</t>
  </si>
  <si>
    <t>peta/rendah_20989.png</t>
  </si>
  <si>
    <t>peta/rendah_21020.png</t>
  </si>
  <si>
    <t>peta/rendah_21384.png</t>
  </si>
  <si>
    <t>peta/rendah_21421.png</t>
  </si>
  <si>
    <t>peta/rendah_21632.png</t>
  </si>
  <si>
    <t>56683</t>
  </si>
  <si>
    <t>https://www.google.com/maps/search/?api=1&amp;query=-7.930656,110.129072</t>
  </si>
  <si>
    <t>peta/rendah_21653.png</t>
  </si>
  <si>
    <t>peta/rendah_21663.png</t>
  </si>
  <si>
    <t>peta/rendah_21723.png</t>
  </si>
  <si>
    <t>57605</t>
  </si>
  <si>
    <t>https://www.google.com/maps/search/?api=1&amp;query=-7.928839,110.125447</t>
  </si>
  <si>
    <t>peta/rendah_22145.png</t>
  </si>
  <si>
    <t>peta/rendah_22148.png</t>
  </si>
  <si>
    <t>peta/rendah_22663.png</t>
  </si>
  <si>
    <t>Sedang</t>
  </si>
  <si>
    <t>lainnya</t>
  </si>
  <si>
    <t>peta/sedang_1152.png</t>
  </si>
  <si>
    <t>Arsip v5 (kalimat umum v5; tidak dipakai untuk kode) — Penyebab: Berada di kawasan bandara internasional. Opsi jalan yang disediakan oleh OSM terbatas ditambah terdapat ruas jalan yang tidak dapat dilewati akibat terdampak bencana banjir</t>
  </si>
  <si>
    <t>2699</t>
  </si>
  <si>
    <t>GKJ Sentolo Pepanthan Jangkang</t>
  </si>
  <si>
    <t>https://www.google.com/maps/search/?api=1&amp;query=-7.825910,110.216360</t>
  </si>
  <si>
    <t>https://www.google.com/maps/search/?api=1&amp;query=-7.827605,110.213348</t>
  </si>
  <si>
    <t>peta/sedang_1213.png</t>
  </si>
  <si>
    <t>Arsip v5 (kalimat umum v5; tidak dipakai untuk kode) — Penyebab: Opsi jalan yang disediakan oleh OSM terbatas dibandingkan Google Maps, ditambah terdapat ruas jalan yang tidak dapat dilewati akibat terdampak bencana banjir</t>
  </si>
  <si>
    <t>3406</t>
  </si>
  <si>
    <t>Masjid Baiturohman Sentolo Jangkang Lor</t>
  </si>
  <si>
    <t>https://www.google.com/maps/search/?api=1&amp;query=-7.823191,110.213644</t>
  </si>
  <si>
    <t>https://www.google.com/maps/search/?api=1&amp;query=-7.823968,110.211718</t>
  </si>
  <si>
    <t>peta/sedang_1536.png</t>
  </si>
  <si>
    <t>4008</t>
  </si>
  <si>
    <t>Masjid Nurjihad</t>
  </si>
  <si>
    <t>https://www.google.com/maps/search/?api=1&amp;query=-7.816778,110.171029</t>
  </si>
  <si>
    <t>https://www.google.com/maps/search/?api=1&amp;query=-7.814606,110.171039</t>
  </si>
  <si>
    <t>peta/sedang_1804.png</t>
  </si>
  <si>
    <t>4463</t>
  </si>
  <si>
    <t>https://www.google.com/maps/search/?api=1&amp;query=-7.823193,110.214551</t>
  </si>
  <si>
    <t>peta/sedang_2005.png</t>
  </si>
  <si>
    <t>6492</t>
  </si>
  <si>
    <t>https://www.google.com/maps/search/?api=1&amp;query=-7.817686,110.172841</t>
  </si>
  <si>
    <t>peta/sedang_2919.png</t>
  </si>
  <si>
    <t>9076</t>
  </si>
  <si>
    <t>Saint Veronica Catholic Chapel, Kedungsari</t>
  </si>
  <si>
    <t>https://www.google.com/maps/search/?api=1&amp;query=-7.864761,110.194518</t>
  </si>
  <si>
    <t>https://www.google.com/maps/search/?api=1&amp;query=-7.864684,110.191643</t>
  </si>
  <si>
    <t>peta/sedang_4108.png</t>
  </si>
  <si>
    <t>9288</t>
  </si>
  <si>
    <t>https://www.google.com/maps/search/?api=1&amp;query=-7.815874,110.171031</t>
  </si>
  <si>
    <t>peta/sedang_4199.png</t>
  </si>
  <si>
    <t>peta/sedang_4484.png</t>
  </si>
  <si>
    <t>11271</t>
  </si>
  <si>
    <t>MASJID Bani Kadarusman (LDII)</t>
  </si>
  <si>
    <t>https://www.google.com/maps/search/?api=1&amp;query=-7.856344,110.061201</t>
  </si>
  <si>
    <t>https://www.google.com/maps/search/?api=1&amp;query=-7.859256,110.061865</t>
  </si>
  <si>
    <t>peta/sedang_5108.png</t>
  </si>
  <si>
    <t>peta/sedang_5481.png</t>
  </si>
  <si>
    <t>12996</t>
  </si>
  <si>
    <t>https://www.google.com/maps/search/?api=1&amp;query=-7.824097,110.214550</t>
  </si>
  <si>
    <t>peta/sedang_5878.png</t>
  </si>
  <si>
    <t>13191</t>
  </si>
  <si>
    <t>Masjid An Nur</t>
  </si>
  <si>
    <t>https://www.google.com/maps/search/?api=1&amp;query=-7.821281,110.161044</t>
  </si>
  <si>
    <t>https://www.google.com/maps/search/?api=1&amp;query=-7.824432,110.159622</t>
  </si>
  <si>
    <t>peta/sedang_5970.png</t>
  </si>
  <si>
    <t>14501</t>
  </si>
  <si>
    <t>https://www.google.com/maps/search/?api=1&amp;query=-7.822287,110.213646</t>
  </si>
  <si>
    <t>peta/sedang_6574.png</t>
  </si>
  <si>
    <t>15257</t>
  </si>
  <si>
    <t>https://www.google.com/maps/search/?api=1&amp;query=-7.822185,110.161042</t>
  </si>
  <si>
    <t>peta/sedang_6919.png</t>
  </si>
  <si>
    <t>15742</t>
  </si>
  <si>
    <t>https://www.google.com/maps/search/?api=1&amp;query=-7.821279,110.160137</t>
  </si>
  <si>
    <t>peta/sedang_7129.png</t>
  </si>
  <si>
    <t>peta/sedang_7393.png</t>
  </si>
  <si>
    <t>16940</t>
  </si>
  <si>
    <t>https://www.google.com/maps/search/?api=1&amp;query=-7.816777,110.170122</t>
  </si>
  <si>
    <t>peta/sedang_7635.png</t>
  </si>
  <si>
    <t>peta/sedang_7834.png</t>
  </si>
  <si>
    <t>17672</t>
  </si>
  <si>
    <t>https://www.google.com/maps/search/?api=1&amp;query=-7.821382,110.213648</t>
  </si>
  <si>
    <t>peta/sedang_7993.png</t>
  </si>
  <si>
    <t>19153</t>
  </si>
  <si>
    <t>https://www.google.com/maps/search/?api=1&amp;query=-7.825908,110.215453</t>
  </si>
  <si>
    <t>peta/sedang_8666.png</t>
  </si>
  <si>
    <t>peta/sedang_8750.png</t>
  </si>
  <si>
    <t>20036</t>
  </si>
  <si>
    <t>https://www.google.com/maps/search/?api=1&amp;query=-7.816784,110.173750</t>
  </si>
  <si>
    <t>peta/sedang_9038.png</t>
  </si>
  <si>
    <t>20581</t>
  </si>
  <si>
    <t>https://www.google.com/maps/search/?api=1&amp;query=-7.856346,110.062108</t>
  </si>
  <si>
    <t>peta/sedang_9273.png</t>
  </si>
  <si>
    <t>20783</t>
  </si>
  <si>
    <t>https://www.google.com/maps/search/?api=1&amp;query=-7.822288,110.214553</t>
  </si>
  <si>
    <t>peta/sedang_9358.png</t>
  </si>
  <si>
    <t>peta/sedang_9702.png</t>
  </si>
  <si>
    <t>22133</t>
  </si>
  <si>
    <t>Koramil Sentolo</t>
  </si>
  <si>
    <t>https://www.google.com/maps/search/?api=1&amp;query=-7.826821,110.219986</t>
  </si>
  <si>
    <t>https://www.google.com/maps/search/?api=1&amp;query=-7.828083,110.222222</t>
  </si>
  <si>
    <t>peta/sedang_9956.png</t>
  </si>
  <si>
    <t>22457</t>
  </si>
  <si>
    <t>SD Negeri 5 Wates</t>
  </si>
  <si>
    <t>https://www.google.com/maps/search/?api=1&amp;query=-7.859259,110.156432</t>
  </si>
  <si>
    <t>https://www.google.com/maps/search/?api=1&amp;query=-7.860351,110.156550</t>
  </si>
  <si>
    <t>peta/sedang_10107.png</t>
  </si>
  <si>
    <t>22936</t>
  </si>
  <si>
    <t>https://www.google.com/maps/search/?api=1&amp;query=-7.821277,110.159230</t>
  </si>
  <si>
    <t>peta/sedang_10281.png</t>
  </si>
  <si>
    <t>23219</t>
  </si>
  <si>
    <t>https://www.google.com/maps/search/?api=1&amp;query=-7.816780,110.171936</t>
  </si>
  <si>
    <t>peta/sedang_10405.png</t>
  </si>
  <si>
    <t>23556</t>
  </si>
  <si>
    <t>https://www.google.com/maps/search/?api=1&amp;query=-7.826814,110.216358</t>
  </si>
  <si>
    <t>peta/sedang_10530.png</t>
  </si>
  <si>
    <t>peta/sedang_10545.png</t>
  </si>
  <si>
    <t>23955</t>
  </si>
  <si>
    <t>H21</t>
  </si>
  <si>
    <t>SMP Muhammadiyah 2 Sentolo</t>
  </si>
  <si>
    <t>https://www.google.com/maps/search/?api=1&amp;query=-7.857565,110.215394</t>
  </si>
  <si>
    <t>https://www.google.com/maps/search/?api=1&amp;query=-7.861112,110.215359</t>
  </si>
  <si>
    <t>peta/sedang_10701.png</t>
  </si>
  <si>
    <t>24053</t>
  </si>
  <si>
    <t>https://www.google.com/maps/search/?api=1&amp;query=-7.822184,110.160135</t>
  </si>
  <si>
    <t>peta/sedang_10745.png</t>
  </si>
  <si>
    <t>peta/sedang_11219.png</t>
  </si>
  <si>
    <t>26732</t>
  </si>
  <si>
    <t>https://www.google.com/maps/search/?api=1&amp;query=-7.815879,110.173752</t>
  </si>
  <si>
    <t>peta/sedang_11668.png</t>
  </si>
  <si>
    <t>peta/sedang_11746.png</t>
  </si>
  <si>
    <t>27608</t>
  </si>
  <si>
    <t>https://www.google.com/maps/search/?api=1&amp;query=-7.822187,110.161949</t>
  </si>
  <si>
    <t>peta/sedang_11948.png</t>
  </si>
  <si>
    <t>27856</t>
  </si>
  <si>
    <t>https://www.google.com/maps/search/?api=1&amp;query=-7.826819,110.219079</t>
  </si>
  <si>
    <t>peta/sedang_12021.png</t>
  </si>
  <si>
    <t>29837</t>
  </si>
  <si>
    <t>https://www.google.com/maps/search/?api=1&amp;query=-7.816782,110.172843</t>
  </si>
  <si>
    <t>peta/sedang_12627.png</t>
  </si>
  <si>
    <t>peta/sedang_12710.png</t>
  </si>
  <si>
    <t>31254</t>
  </si>
  <si>
    <t>https://www.google.com/maps/search/?api=1&amp;query=-7.817681,110.170120</t>
  </si>
  <si>
    <t>peta/sedang_13026.png</t>
  </si>
  <si>
    <t>31335</t>
  </si>
  <si>
    <t>SD Muhammadiyah Bugel</t>
  </si>
  <si>
    <t>https://www.google.com/maps/search/?api=1&amp;query=-7.947025,110.172584</t>
  </si>
  <si>
    <t>https://www.google.com/maps/search/?api=1&amp;query=-7.944964,110.170059</t>
  </si>
  <si>
    <t>peta/sedang_13056.png</t>
  </si>
  <si>
    <t>31624</t>
  </si>
  <si>
    <t>Masjid Nurul Huda Jimatan</t>
  </si>
  <si>
    <t>https://www.google.com/maps/search/?api=1&amp;query=-7.923579,110.208919</t>
  </si>
  <si>
    <t>https://www.google.com/maps/search/?api=1&amp;query=-7.923944,110.210145</t>
  </si>
  <si>
    <t>peta/sedang_13140.png</t>
  </si>
  <si>
    <t>peta/sedang_13173.png</t>
  </si>
  <si>
    <t>31966</t>
  </si>
  <si>
    <t>https://www.google.com/maps/search/?api=1&amp;query=-7.947926,110.170768</t>
  </si>
  <si>
    <t>peta/sedang_13236.png</t>
  </si>
  <si>
    <t>peta/sedang_13621.png</t>
  </si>
  <si>
    <t>peta/sedang_13946.png</t>
  </si>
  <si>
    <t>peta/sedang_14598.png</t>
  </si>
  <si>
    <t>39486</t>
  </si>
  <si>
    <t>https://www.google.com/maps/search/?api=1&amp;query=-7.922673,110.208014</t>
  </si>
  <si>
    <t>peta/sedang_15271.png</t>
  </si>
  <si>
    <t>40001</t>
  </si>
  <si>
    <t>https://www.google.com/maps/search/?api=1&amp;query=-7.925387,110.208008</t>
  </si>
  <si>
    <t>peta/sedang_15418.png</t>
  </si>
  <si>
    <t>40893</t>
  </si>
  <si>
    <t>https://www.google.com/maps/search/?api=1&amp;query=-7.922675,110.208921</t>
  </si>
  <si>
    <t>peta/sedang_15645.png</t>
  </si>
  <si>
    <t>42116</t>
  </si>
  <si>
    <t>https://www.google.com/maps/search/?api=1&amp;query=-7.927201,110.210727</t>
  </si>
  <si>
    <t>https://www.google.com/maps/search/?api=1&amp;query=-7.928778,110.207966</t>
  </si>
  <si>
    <t>peta/sedang_16015.png</t>
  </si>
  <si>
    <t>peta/sedang_16216.png</t>
  </si>
  <si>
    <t>peta/sedang_16438.png</t>
  </si>
  <si>
    <t>43744</t>
  </si>
  <si>
    <t>https://www.google.com/maps/search/?api=1&amp;query=-7.926295,110.209821</t>
  </si>
  <si>
    <t>peta/sedang_16501.png</t>
  </si>
  <si>
    <t>peta/sedang_16619.png</t>
  </si>
  <si>
    <t>45631</t>
  </si>
  <si>
    <t>https://www.google.com/maps/search/?api=1&amp;query=-7.926293,110.208914</t>
  </si>
  <si>
    <t>peta/sedang_17082.png</t>
  </si>
  <si>
    <t>peta/sedang_17409.png</t>
  </si>
  <si>
    <t>peta/sedang_17432.png</t>
  </si>
  <si>
    <t>46641</t>
  </si>
  <si>
    <t>https://www.google.com/maps/search/?api=1&amp;query=-7.947023,110.171677</t>
  </si>
  <si>
    <t>peta/sedang_17440.png</t>
  </si>
  <si>
    <t>peta/sedang_17663.png</t>
  </si>
  <si>
    <t>48945</t>
  </si>
  <si>
    <t>https://www.google.com/maps/search/?api=1&amp;query=-7.947928,110.171675</t>
  </si>
  <si>
    <t>peta/sedang_18206.png</t>
  </si>
  <si>
    <t>peta/sedang_18583.png</t>
  </si>
  <si>
    <t>52795</t>
  </si>
  <si>
    <t>SD Negeri Jurug</t>
  </si>
  <si>
    <t>https://www.google.com/maps/search/?api=1&amp;query=-7.916384,110.230705</t>
  </si>
  <si>
    <t>https://www.google.com/maps/search/?api=1&amp;query=-7.917724,110.229121</t>
  </si>
  <si>
    <t>peta/sedang_19767.png</t>
  </si>
  <si>
    <t>52964</t>
  </si>
  <si>
    <t>https://www.google.com/maps/search/?api=1&amp;query=-7.925388,110.208916</t>
  </si>
  <si>
    <t>peta/sedang_19847.png</t>
  </si>
  <si>
    <t>53383</t>
  </si>
  <si>
    <t>https://www.google.com/maps/search/?api=1&amp;query=-7.924484,110.208917</t>
  </si>
  <si>
    <t>peta/sedang_20037.png</t>
  </si>
  <si>
    <t>54209</t>
  </si>
  <si>
    <t>https://www.google.com/maps/search/?api=1&amp;query=-7.946119,110.171679</t>
  </si>
  <si>
    <t>peta/sedang_20403.png</t>
  </si>
  <si>
    <t>54624</t>
  </si>
  <si>
    <t>https://www.google.com/maps/search/?api=1&amp;query=-7.924482,110.208010</t>
  </si>
  <si>
    <t>peta/sedang_20620.png</t>
  </si>
  <si>
    <t>55805</t>
  </si>
  <si>
    <t>SMK Muhammadiyah 2 Wates (UNIT 1)</t>
  </si>
  <si>
    <t>https://www.google.com/maps/search/?api=1&amp;query=-7.895434,110.154545</t>
  </si>
  <si>
    <t>https://www.google.com/maps/search/?api=1&amp;query=-7.893009,110.152691</t>
  </si>
  <si>
    <t>peta/sedang_21194.png</t>
  </si>
  <si>
    <t>peta/sedang_21384.png</t>
  </si>
  <si>
    <t>57181</t>
  </si>
  <si>
    <t>https://www.google.com/maps/search/?api=1&amp;query=-7.946121,110.172586</t>
  </si>
  <si>
    <t>peta/sedang_21910.png</t>
  </si>
  <si>
    <t>57587</t>
  </si>
  <si>
    <t>https://www.google.com/maps/search/?api=1&amp;query=-7.923578,110.208012</t>
  </si>
  <si>
    <t>peta/sedang_22130.png</t>
  </si>
  <si>
    <t>57851</t>
  </si>
  <si>
    <t>https://www.google.com/maps/search/?api=1&amp;query=-7.924486,110.209824</t>
  </si>
  <si>
    <t>peta/sedang_22271.png</t>
  </si>
  <si>
    <t>58384</t>
  </si>
  <si>
    <t>https://www.google.com/maps/search/?api=1&amp;query=-7.915480,110.230707</t>
  </si>
  <si>
    <t>peta/sedang_22574.png</t>
  </si>
  <si>
    <t>58550</t>
  </si>
  <si>
    <t>https://www.google.com/maps/search/?api=1&amp;query=-7.925390,110.209823</t>
  </si>
  <si>
    <t>peta/sedang_22666.png</t>
  </si>
  <si>
    <t>Tinggi</t>
  </si>
  <si>
    <t>peta/tinggi_1536.png</t>
  </si>
  <si>
    <t>peta/tinggi_2005.png</t>
  </si>
  <si>
    <t>peta/tinggi_4484.png</t>
  </si>
  <si>
    <t>peta/tinggi_5481.png</t>
  </si>
  <si>
    <t>peta/tinggi_5878.png</t>
  </si>
  <si>
    <t>14093</t>
  </si>
  <si>
    <t>H15</t>
  </si>
  <si>
    <t>https://www.google.com/maps/search/?api=1&amp;query=-7.783270,110.149330</t>
  </si>
  <si>
    <t>peta/tinggi_6380.png</t>
  </si>
  <si>
    <t>peta/tinggi_6574.png</t>
  </si>
  <si>
    <t>14789</t>
  </si>
  <si>
    <t>Saint Joseph Catholic Chapel, Tukharjo</t>
  </si>
  <si>
    <t>https://www.google.com/maps/search/?api=1&amp;query=-7.694718,110.193936</t>
  </si>
  <si>
    <t>https://www.google.com/maps/search/?api=1&amp;query=-7.693762,110.192578</t>
  </si>
  <si>
    <t>peta/tinggi_6705.png</t>
  </si>
  <si>
    <t>peta/tinggi_7393.png</t>
  </si>
  <si>
    <t>peta/tinggi_7834.png</t>
  </si>
  <si>
    <t>peta/tinggi_7993.png</t>
  </si>
  <si>
    <t>19999</t>
  </si>
  <si>
    <t>MASJID JAMI' AL-JIHAD KLUWIH</t>
  </si>
  <si>
    <t>https://www.google.com/maps/search/?api=1&amp;query=-7.760743,110.192903</t>
  </si>
  <si>
    <t>https://www.google.com/maps/search/?api=1&amp;query=-7.762232,110.191306</t>
  </si>
  <si>
    <t>peta/tinggi_9017.png</t>
  </si>
  <si>
    <t>peta/tinggi_9358.png</t>
  </si>
  <si>
    <t>peta/tinggi_9702.png</t>
  </si>
  <si>
    <t>peta/tinggi_10545.png</t>
  </si>
  <si>
    <t>23863</t>
  </si>
  <si>
    <t>https://www.google.com/maps/search/?api=1&amp;query=-7.828618,110.213634</t>
  </si>
  <si>
    <t>peta/tinggi_10663.png</t>
  </si>
  <si>
    <t>peta/tinggi_11746.png</t>
  </si>
  <si>
    <t>27348</t>
  </si>
  <si>
    <t>https://www.google.com/maps/search/?api=1&amp;query=-7.761649,110.193809</t>
  </si>
  <si>
    <t>peta/tinggi_11859.png</t>
  </si>
  <si>
    <t>peta/tinggi_12710.png</t>
  </si>
  <si>
    <t>peta/tinggi_13140.png</t>
  </si>
  <si>
    <t>peta/tinggi_13173.png</t>
  </si>
  <si>
    <t>31915</t>
  </si>
  <si>
    <t>https://www.google.com/maps/search/?api=1&amp;query=-7.693812,110.193031</t>
  </si>
  <si>
    <t>peta/tinggi_13219.png</t>
  </si>
  <si>
    <t>32311</t>
  </si>
  <si>
    <t>Masjid Jami</t>
  </si>
  <si>
    <t>https://www.google.com/maps/search/?api=1&amp;query=-7.790517,110.154757</t>
  </si>
  <si>
    <t>https://www.google.com/maps/search/?api=1&amp;query=-7.790566,110.152157</t>
  </si>
  <si>
    <t>peta/tinggi_13328.png</t>
  </si>
  <si>
    <t>peta/tinggi_13621.png</t>
  </si>
  <si>
    <t>34060</t>
  </si>
  <si>
    <t>H24</t>
  </si>
  <si>
    <t>Masjid Al - Kautsar</t>
  </si>
  <si>
    <t>https://www.google.com/maps/search/?api=1&amp;query=-7.702959,110.249230</t>
  </si>
  <si>
    <t>https://www.google.com/maps/search/?api=1&amp;query=-7.705537,110.251013</t>
  </si>
  <si>
    <t>peta/tinggi_13764.png</t>
  </si>
  <si>
    <t>peta/tinggi_13946.png</t>
  </si>
  <si>
    <t>peta/tinggi_14598.png</t>
  </si>
  <si>
    <t>38523</t>
  </si>
  <si>
    <t>https://www.google.com/maps/search/?api=1&amp;query=-7.767083,110.197426</t>
  </si>
  <si>
    <t>https://www.google.com/maps/search/?api=1&amp;query=-7.768872,110.200163</t>
  </si>
  <si>
    <t>peta/tinggi_14990.png</t>
  </si>
  <si>
    <t>peta/tinggi_15271.png</t>
  </si>
  <si>
    <t>peta/tinggi_15645.png</t>
  </si>
  <si>
    <t>peta/tinggi_16216.png</t>
  </si>
  <si>
    <t>peta/tinggi_16438.png</t>
  </si>
  <si>
    <t>peta/tinggi_16619.png</t>
  </si>
  <si>
    <t>45084</t>
  </si>
  <si>
    <t>https://www.google.com/maps/search/?api=1&amp;query=-7.693814,110.193937</t>
  </si>
  <si>
    <t>peta/tinggi_16905.png</t>
  </si>
  <si>
    <t>45718</t>
  </si>
  <si>
    <t>H27</t>
  </si>
  <si>
    <t>https://www.google.com/maps/search/?api=1&amp;query=-7.691095,110.191222</t>
  </si>
  <si>
    <t>peta/tinggi_17118.png</t>
  </si>
  <si>
    <t>peta/tinggi_17409.png</t>
  </si>
  <si>
    <t>peta/tinggi_17663.png</t>
  </si>
  <si>
    <t>47538</t>
  </si>
  <si>
    <t>H11</t>
  </si>
  <si>
    <t>masjid al hidayah cerme IV</t>
  </si>
  <si>
    <t>https://www.google.com/maps/search/?api=1&amp;query=-7.893669,110.176319</t>
  </si>
  <si>
    <t>https://www.google.com/maps/search/?api=1&amp;query=-7.891881,110.178626</t>
  </si>
  <si>
    <t>peta/tinggi_17733.png</t>
  </si>
  <si>
    <t>49832</t>
  </si>
  <si>
    <t>https://www.google.com/maps/search/?api=1&amp;query=-7.894573,110.176318</t>
  </si>
  <si>
    <t>peta/tinggi_18544.png</t>
  </si>
  <si>
    <t>peta/tinggi_20037.png</t>
  </si>
  <si>
    <t>54167</t>
  </si>
  <si>
    <t>https://www.google.com/maps/search/?api=1&amp;query=-7.892763,110.175414</t>
  </si>
  <si>
    <t>peta/tinggi_20385.png</t>
  </si>
  <si>
    <t>55435</t>
  </si>
  <si>
    <t>H30</t>
  </si>
  <si>
    <t>https://www.google.com/maps/search/?api=1&amp;query=-7.923576,110.207105</t>
  </si>
  <si>
    <t>peta/tinggi_21012.png</t>
  </si>
  <si>
    <t>peta/tinggi_22130.png</t>
  </si>
  <si>
    <t>peta/tinggi_22271.png</t>
  </si>
  <si>
    <t>Jumlah grid</t>
  </si>
  <si>
    <t>Level</t>
  </si>
  <si>
    <t>TES</t>
  </si>
  <si>
    <t>DI maksimum</t>
  </si>
  <si>
    <t>Lat</t>
  </si>
  <si>
    <t>Lon</t>
  </si>
  <si>
    <t>Google Maps satelit</t>
  </si>
  <si>
    <t>1152, 10114, 13989, 14225, 14254, 14867, 16123, 18237, 20081, 20950, 21421, 21632, 21723</t>
  </si>
  <si>
    <t>Baseline, Rendah, Sedang</t>
  </si>
  <si>
    <t>GKBI Palihan (Selong); Masjid AL ANWAR.PALIHAN 1</t>
  </si>
  <si>
    <t>https://www.google.com/maps/@-7.896815,110.052038,18z/data=!3m1!1e3</t>
  </si>
  <si>
    <t>1198, 17290, 17558, 18284, 19702, 19779, 22663</t>
  </si>
  <si>
    <t>Baseline, Rendah</t>
  </si>
  <si>
    <t>https://www.google.com/maps/@-7.905207,110.071328,18z/data=!3m1!1e3</t>
  </si>
  <si>
    <t>256, 712, 6480, 8538, 8934, 9061</t>
  </si>
  <si>
    <t>Masjid Baiturrohman; SLB Rela Bhakti II Wates (C)</t>
  </si>
  <si>
    <t>https://www.google.com/maps/@-7.880189,110.144598,18z/data=!3m1!1e3</t>
  </si>
  <si>
    <t>3043, 6084, 7232, 7857</t>
  </si>
  <si>
    <t>https://www.google.com/maps/@-7.871905,110.148016,18z/data=!3m1!1e3</t>
  </si>
  <si>
    <t>4254, 6528, 7644, 8955</t>
  </si>
  <si>
    <t>Gedung IPHI Pengasih; MASJID BANGUN UMMAH</t>
  </si>
  <si>
    <t>https://www.google.com/maps/@-7.860639,110.167767,18z/data=!3m1!1e3</t>
  </si>
  <si>
    <t>11219, 17432, 18583, 21384</t>
  </si>
  <si>
    <t>https://www.google.com/maps/@-7.913216,110.229350,18z/data=!3m1!1e3</t>
  </si>
  <si>
    <t>13621, 14598, 16216, 16438</t>
  </si>
  <si>
    <t>Baseline, Rendah, Sedang, Tinggi</t>
  </si>
  <si>
    <t>MASJID-AL HIKMAH; Masjid Ta'zimah Ngroto</t>
  </si>
  <si>
    <t>https://www.google.com/maps/@-7.730433,110.187294,18z/data=!3m1!1e3</t>
  </si>
  <si>
    <t>4484, 5481, 7393</t>
  </si>
  <si>
    <t>https://www.google.com/maps/@-7.822477,110.155902,18z/data=!3m1!1e3</t>
  </si>
  <si>
    <t>15595, 17845, 22148</t>
  </si>
  <si>
    <t>GKJ Palihan; Masjid AL-HIDAYAH PALIHAN</t>
  </si>
  <si>
    <t>https://www.google.com/maps/@-7.895528,110.057484,18z/data=!3m1!1e3</t>
  </si>
  <si>
    <t>16007, 18975, 21020</t>
  </si>
  <si>
    <t>https://www.google.com/maps/@-7.910756,110.128206,18z/data=!3m1!1e3</t>
  </si>
  <si>
    <t>17733, 18544, 20385</t>
  </si>
  <si>
    <t>https://www.google.com/maps/@-7.893668,110.176017,18z/data=!3m1!1e3</t>
  </si>
  <si>
    <t>3083, 10293</t>
  </si>
  <si>
    <t>https://www.google.com/maps/@-7.826263,110.164662,18z/data=!3m1!1e3</t>
  </si>
  <si>
    <t>13173, 17663</t>
  </si>
  <si>
    <t>https://www.google.com/maps/@-7.692833,110.154498,18z/data=!3m1!1e3</t>
  </si>
  <si>
    <t>20989, 21663</t>
  </si>
  <si>
    <t>https://www.google.com/maps/@-7.909289,110.076956,18z/data=!3m1!1e3</t>
  </si>
  <si>
    <t>6380</t>
  </si>
  <si>
    <t>https://www.google.com/maps/@-7.783270,110.149330,18z/data=!3m1!1e3</t>
  </si>
  <si>
    <t>7834</t>
  </si>
  <si>
    <t>https://www.google.com/maps/@-7.766114,110.163874,18z/data=!3m1!1e3</t>
  </si>
  <si>
    <t>8286</t>
  </si>
  <si>
    <t>https://www.google.com/maps/@-7.843920,110.174604,18z/data=!3m1!1e3</t>
  </si>
  <si>
    <t>8750</t>
  </si>
  <si>
    <t>https://www.google.com/maps/@-7.760728,110.184742,18z/data=!3m1!1e3</t>
  </si>
  <si>
    <t>9702</t>
  </si>
  <si>
    <t>https://www.google.com/maps/@-7.821181,110.112068,18z/data=!3m1!1e3</t>
  </si>
  <si>
    <t>10545</t>
  </si>
  <si>
    <t>https://www.google.com/maps/@-7.803174,110.152011,18z/data=!3m1!1e3</t>
  </si>
  <si>
    <t>10701</t>
  </si>
  <si>
    <t>https://www.google.com/maps/@-7.857565,110.215394,18z/data=!3m1!1e3</t>
  </si>
  <si>
    <t>11746</t>
  </si>
  <si>
    <t>https://www.google.com/maps/@-7.813941,110.110270,18z/data=!3m1!1e3</t>
  </si>
  <si>
    <t>12710</t>
  </si>
  <si>
    <t>https://www.google.com/maps/@-7.789598,110.147503,18z/data=!3m1!1e3</t>
  </si>
  <si>
    <t>13764</t>
  </si>
  <si>
    <t>https://www.google.com/maps/@-7.702959,110.249230,18z/data=!3m1!1e3</t>
  </si>
  <si>
    <t>13946</t>
  </si>
  <si>
    <t>https://www.google.com/maps/@-7.755283,110.175684,18z/data=!3m1!1e3</t>
  </si>
  <si>
    <t>16619</t>
  </si>
  <si>
    <t>https://www.google.com/maps/@-7.647678,110.190398,18z/data=!3m1!1e3</t>
  </si>
  <si>
    <t>17118</t>
  </si>
  <si>
    <t>https://www.google.com/maps/@-7.691095,110.191222,18z/data=!3m1!1e3</t>
  </si>
  <si>
    <t>17227</t>
  </si>
  <si>
    <t>https://www.google.com/maps/@-7.900833,110.140927,18z/data=!3m1!1e3</t>
  </si>
  <si>
    <t>17409</t>
  </si>
  <si>
    <t>https://www.google.com/maps/@-7.715479,110.172134,18z/data=!3m1!1e3</t>
  </si>
  <si>
    <t>21012</t>
  </si>
  <si>
    <t>https://www.google.com/maps/@-7.923576,110.207105,18z/data=!3m1!1e3</t>
  </si>
  <si>
    <t>Lembar validasi manual Titik Aman Semu v6 (aturan utama: DI ≥ 2, T_ideal ≤ 5 menit, T_aktual ≥ 30 menit).</t>
  </si>
  <si>
    <t>Satu baris = satu grid TAS pada satu level. Nilai diambil dari data/locked/ (hasil-skripsi-v6; snapping ke ruas).</t>
  </si>
  <si>
    <t>KODE (kolom Kode utama dan Kode tambahan; pilih dari daftar):</t>
  </si>
  <si>
    <t xml:space="preserve">  A Sungai/waduk</t>
  </si>
  <si>
    <t xml:space="preserve">  B Kawasan tertutup/bandara</t>
  </si>
  <si>
    <t xml:space="preserve">  C Topografi perbukitan</t>
  </si>
  <si>
    <t xml:space="preserve">  D Jaringan jalan memang jarang</t>
  </si>
  <si>
    <t xml:space="preserve">  E Jaringan OSM tidak lengkap</t>
  </si>
  <si>
    <t xml:space="preserve">  F Kesalahan snapping</t>
  </si>
  <si>
    <t xml:space="preserve">  G Penutupan ruas akibat banjir</t>
  </si>
  <si>
    <t xml:space="preserve">  H TES lebih dekat tidak tercatat</t>
  </si>
  <si>
    <t xml:space="preserve">  I Belum terjelaskan</t>
  </si>
  <si>
    <t>VALID (otomatis dari Kode utama): A/B/C/D/G → Y; E/F/H → T; I → cek</t>
  </si>
  <si>
    <t xml:space="preserve">  Y = TAS nyata (penghalang fisik atau penutupan banjir); T = artefak data/metode; cek = belum terjelaskan.</t>
  </si>
  <si>
    <t>ATRIBUSI BANJIR (level Rendah/Sedang/Tinggi; kosong untuk Baseline). TES sama = TES terdekat (Euclidean) identik dengan Baseline.</t>
  </si>
  <si>
    <t xml:space="preserve">  dipicu banjir     : grid bukan TAS di Baseline, TES sama, dan waktu Baseline ke TES itu &lt; 30 menit.</t>
  </si>
  <si>
    <t xml:space="preserve">  diperparah banjir : grid juga TAS di Baseline, TES sama, dan T_aktual naik &gt; 1 menit dibanding Baseline.</t>
  </si>
  <si>
    <t xml:space="preserve">  tidak berubah     : grid juga TAS di Baseline, TES sama, dan T_aktual berubah ≤ 1 menit.</t>
  </si>
  <si>
    <t xml:space="preserve">  lainnya           : selain ketiganya (mis. TES terdekat berubah karena TES Baseline tidak valid di level itu).</t>
  </si>
  <si>
    <t xml:space="preserve">  Waktu Baseline ke TES sama dan Tambahan waktu hanya diisi bila TES sama.</t>
  </si>
  <si>
    <t>STATUS ISIAN:</t>
  </si>
  <si>
    <t xml:space="preserve">  otomatis                  : kode diisi dari aturan (dipicu → G; diperparah → kode Baseline + G; tidak berubah → kode Baseline).</t>
  </si>
  <si>
    <t xml:space="preserve">  perlu konfirmasi peneliti : kode Baseline dipetakan dari teks v5 dengan aturan kata kunci; periksa kembali.</t>
  </si>
  <si>
    <t xml:space="preserve">  perlu divalidasi          : belum ada kode; periksa peta dan Google Maps, lalu isi.</t>
  </si>
  <si>
    <t xml:space="preserve">  Teks v5 berkode F (snapping) tidak dibawa bila grid masih TAS di v6, karena snapping sudah diperbaiki.</t>
  </si>
  <si>
    <t xml:space="preserve">  Kalimat umum v5 untuk Sedang/Tinggi hanya disimpan di Catatan sebagai arsip.</t>
  </si>
  <si>
    <t>HOTSPOT: DBSCAN 350 m (min. 1 grid) pada grid unik berstatus perlu divalidasi / perlu konfirmasi. Periksa hotspot sekali (tautan satelit), isi kodenya di lembar Hotspot, lalu salin ke baris grid terkait bila sesuai.</t>
  </si>
  <si>
    <t>PETA (kolom Peta): ungu = grid; bintang = TES terdekat; titik-titik = garis lurus; biru = rute jaringan; oranye putus = ruas snapping; merah putus = ruas ditutup; hijau tebal = rute Baseline (dipicu/diperparah).</t>
  </si>
  <si>
    <t>Setelah diisi: python -m scripts.rekap_validasi_TAS</t>
  </si>
  <si>
    <t>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</si>
</sst>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u/>
      <sz val="11"/>
      <color rgb="FF1D4ED8"/>
      <name val="Calibri"/>
    </font>
    <font>
      <u/>
      <sz val="11"/>
      <color theme="10"/>
      <name val="Calibri"/>
      <family val="2"/>
      <scheme val="minor"/>
    </font>
  </fonts>
  <fills count="3">
    <fill>
      <patternFill patternType="none"/>
    </fill>
    <fill>
      <patternFill patternType="gray125"/>
    </fill>
    <fill>
      <patternFill patternType="solid">
        <fgColor rgb="FFFFF7CC"/>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5">
    <xf numFmtId="0" fontId="0" fillId="0" borderId="0" xfId="0"/>
    <xf numFmtId="0" fontId="1" fillId="0" borderId="0" xfId="0" applyFont="1" applyAlignment="1">
      <alignment vertical="top" wrapText="1"/>
    </xf>
    <xf numFmtId="0" fontId="2" fillId="0" borderId="0" xfId="0" applyFont="1"/>
    <xf numFmtId="0" fontId="0" fillId="2" borderId="0" xfId="0" applyFill="1"/>
    <xf numFmtId="0" fontId="3" fillId="0" borderId="0" xfId="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peta/baseline_15595.png" TargetMode="External"/><Relationship Id="rId671" Type="http://schemas.openxmlformats.org/officeDocument/2006/relationships/hyperlink" Target="https://www.google.com/maps/search/?api=1&amp;query=-7.824968,110.154332" TargetMode="External"/><Relationship Id="rId769" Type="http://schemas.openxmlformats.org/officeDocument/2006/relationships/hyperlink" Target="https://www.google.com/maps/search/?api=1&amp;query=-7.692832,110.154045" TargetMode="External"/><Relationship Id="rId21" Type="http://schemas.openxmlformats.org/officeDocument/2006/relationships/hyperlink" Target="peta\baseline_4254.png" TargetMode="External"/><Relationship Id="rId324" Type="http://schemas.openxmlformats.org/officeDocument/2006/relationships/hyperlink" Target="peta/rendah_15595.png" TargetMode="External"/><Relationship Id="rId531" Type="http://schemas.openxmlformats.org/officeDocument/2006/relationships/hyperlink" Target="peta\sedang_10701.png" TargetMode="External"/><Relationship Id="rId629" Type="http://schemas.openxmlformats.org/officeDocument/2006/relationships/hyperlink" Target="https://www.google.com/maps/search/?api=1&amp;query=-7.923944,110.210145" TargetMode="External"/><Relationship Id="rId170" Type="http://schemas.openxmlformats.org/officeDocument/2006/relationships/hyperlink" Target="https://www.google.com/maps/search/?api=1&amp;query=-7.903177,110.072831" TargetMode="External"/><Relationship Id="rId268" Type="http://schemas.openxmlformats.org/officeDocument/2006/relationships/hyperlink" Target="https://www.google.com/maps/search/?api=1&amp;query=-7.880943,110.144596" TargetMode="External"/><Relationship Id="rId475" Type="http://schemas.openxmlformats.org/officeDocument/2006/relationships/hyperlink" Target="https://www.google.com/maps/search/?api=1&amp;query=-7.822185,110.161042" TargetMode="External"/><Relationship Id="rId682" Type="http://schemas.openxmlformats.org/officeDocument/2006/relationships/hyperlink" Target="https://www.google.com/maps/search/?api=1&amp;query=-7.694718,110.193936" TargetMode="External"/><Relationship Id="rId32" Type="http://schemas.openxmlformats.org/officeDocument/2006/relationships/hyperlink" Target="https://www.google.com/maps/search/?api=1&amp;query=-7.880232,110.142826" TargetMode="External"/><Relationship Id="rId128" Type="http://schemas.openxmlformats.org/officeDocument/2006/relationships/hyperlink" Target="https://www.google.com/maps/search/?api=1&amp;query=-7.728007,110.186293" TargetMode="External"/><Relationship Id="rId335" Type="http://schemas.openxmlformats.org/officeDocument/2006/relationships/hyperlink" Target="https://www.google.com/maps/search/?api=1&amp;query=-7.927862,110.128547" TargetMode="External"/><Relationship Id="rId542" Type="http://schemas.openxmlformats.org/officeDocument/2006/relationships/hyperlink" Target="https://www.google.com/maps/search/?api=1&amp;query=-7.812179,110.113256" TargetMode="External"/><Relationship Id="rId181" Type="http://schemas.openxmlformats.org/officeDocument/2006/relationships/hyperlink" Target="https://www.google.com/maps/search/?api=1&amp;query=-7.910754,110.127299" TargetMode="External"/><Relationship Id="rId402" Type="http://schemas.openxmlformats.org/officeDocument/2006/relationships/hyperlink" Target="peta/rendah_20989.png" TargetMode="External"/><Relationship Id="rId279" Type="http://schemas.openxmlformats.org/officeDocument/2006/relationships/hyperlink" Target="peta/rendah_9702.png" TargetMode="External"/><Relationship Id="rId486" Type="http://schemas.openxmlformats.org/officeDocument/2006/relationships/hyperlink" Target="peta/sedang_7635.png" TargetMode="External"/><Relationship Id="rId693" Type="http://schemas.openxmlformats.org/officeDocument/2006/relationships/hyperlink" Target="peta/tinggi_7993.png" TargetMode="External"/><Relationship Id="rId707" Type="http://schemas.openxmlformats.org/officeDocument/2006/relationships/hyperlink" Target="https://www.google.com/maps/search/?api=1&amp;query=-7.827605,110.213348" TargetMode="External"/><Relationship Id="rId43" Type="http://schemas.openxmlformats.org/officeDocument/2006/relationships/hyperlink" Target="https://www.google.com/maps/search/?api=1&amp;query=-7.861090,110.167313" TargetMode="External"/><Relationship Id="rId139" Type="http://schemas.openxmlformats.org/officeDocument/2006/relationships/hyperlink" Target="https://www.google.com/maps/search/?api=1&amp;query=-7.715479,110.172134" TargetMode="External"/><Relationship Id="rId346" Type="http://schemas.openxmlformats.org/officeDocument/2006/relationships/hyperlink" Target="https://www.google.com/maps/search/?api=1&amp;query=-7.903393,110.069259" TargetMode="External"/><Relationship Id="rId553" Type="http://schemas.openxmlformats.org/officeDocument/2006/relationships/hyperlink" Target="https://www.google.com/maps/search/?api=1&amp;query=-7.789598,110.147503" TargetMode="External"/><Relationship Id="rId760" Type="http://schemas.openxmlformats.org/officeDocument/2006/relationships/hyperlink" Target="https://www.google.com/maps/search/?api=1&amp;query=-7.693814,110.193937" TargetMode="External"/><Relationship Id="rId192" Type="http://schemas.openxmlformats.org/officeDocument/2006/relationships/hyperlink" Target="peta/baseline_21632.png" TargetMode="External"/><Relationship Id="rId206" Type="http://schemas.openxmlformats.org/officeDocument/2006/relationships/hyperlink" Target="https://www.google.com/maps/search/?api=1&amp;query=-7.882983,110.141390" TargetMode="External"/><Relationship Id="rId413" Type="http://schemas.openxmlformats.org/officeDocument/2006/relationships/hyperlink" Target="https://www.google.com/maps/search/?api=1&amp;query=-7.893593,110.052037" TargetMode="External"/><Relationship Id="rId497" Type="http://schemas.openxmlformats.org/officeDocument/2006/relationships/hyperlink" Target="https://www.google.com/maps/search/?api=1&amp;query=-7.757942,110.186248" TargetMode="External"/><Relationship Id="rId620" Type="http://schemas.openxmlformats.org/officeDocument/2006/relationships/hyperlink" Target="https://www.google.com/maps/search/?api=1&amp;query=-7.944964,110.170059" TargetMode="External"/><Relationship Id="rId718" Type="http://schemas.openxmlformats.org/officeDocument/2006/relationships/hyperlink" Target="https://www.google.com/maps/search/?api=1&amp;query=-7.923579,110.208919" TargetMode="External"/><Relationship Id="rId357" Type="http://schemas.openxmlformats.org/officeDocument/2006/relationships/hyperlink" Target="peta/rendah_17558.png" TargetMode="External"/><Relationship Id="rId54" Type="http://schemas.openxmlformats.org/officeDocument/2006/relationships/hyperlink" Target="peta/baseline_8286.png" TargetMode="External"/><Relationship Id="rId217" Type="http://schemas.openxmlformats.org/officeDocument/2006/relationships/hyperlink" Target="https://www.google.com/maps/search/?api=1&amp;query=-7.872812,110.149148" TargetMode="External"/><Relationship Id="rId564" Type="http://schemas.openxmlformats.org/officeDocument/2006/relationships/hyperlink" Target="peta\sedang_13140.png" TargetMode="External"/><Relationship Id="rId771" Type="http://schemas.openxmlformats.org/officeDocument/2006/relationships/hyperlink" Target="peta\tinggi_17663.png" TargetMode="External"/><Relationship Id="rId424" Type="http://schemas.openxmlformats.org/officeDocument/2006/relationships/hyperlink" Target="https://www.google.com/maps/search/?api=1&amp;query=-7.928839,110.125447" TargetMode="External"/><Relationship Id="rId631" Type="http://schemas.openxmlformats.org/officeDocument/2006/relationships/hyperlink" Target="https://www.google.com/maps/search/?api=1&amp;query=-7.924484,110.208917" TargetMode="External"/><Relationship Id="rId729" Type="http://schemas.openxmlformats.org/officeDocument/2006/relationships/hyperlink" Target="peta/tinggi_13328.png" TargetMode="External"/><Relationship Id="rId270" Type="http://schemas.openxmlformats.org/officeDocument/2006/relationships/hyperlink" Target="peta/rendah_8934.png" TargetMode="External"/><Relationship Id="rId65" Type="http://schemas.openxmlformats.org/officeDocument/2006/relationships/hyperlink" Target="https://www.google.com/maps/search/?api=1&amp;query=-7.858997,110.165148" TargetMode="External"/><Relationship Id="rId130" Type="http://schemas.openxmlformats.org/officeDocument/2006/relationships/hyperlink" Target="https://www.google.com/maps/search/?api=1&amp;query=-7.647678,110.190398" TargetMode="External"/><Relationship Id="rId368" Type="http://schemas.openxmlformats.org/officeDocument/2006/relationships/hyperlink" Target="https://www.google.com/maps/search/?api=1&amp;query=-7.893593,110.052037" TargetMode="External"/><Relationship Id="rId575" Type="http://schemas.openxmlformats.org/officeDocument/2006/relationships/hyperlink" Target="https://www.google.com/maps/search/?api=1&amp;query=-7.754016,110.176027" TargetMode="External"/><Relationship Id="rId782" Type="http://schemas.openxmlformats.org/officeDocument/2006/relationships/hyperlink" Target="https://www.google.com/maps/search/?api=1&amp;query=-7.891881,110.178626" TargetMode="External"/><Relationship Id="rId228" Type="http://schemas.openxmlformats.org/officeDocument/2006/relationships/hyperlink" Target="peta\rendah_4254.png" TargetMode="External"/><Relationship Id="rId435" Type="http://schemas.openxmlformats.org/officeDocument/2006/relationships/hyperlink" Target="peta\sedang_1152.png" TargetMode="External"/><Relationship Id="rId642" Type="http://schemas.openxmlformats.org/officeDocument/2006/relationships/hyperlink" Target="peta/sedang_21194.png" TargetMode="External"/><Relationship Id="rId281" Type="http://schemas.openxmlformats.org/officeDocument/2006/relationships/hyperlink" Target="https://www.google.com/maps/search/?api=1&amp;query=-7.893593,110.052037" TargetMode="External"/><Relationship Id="rId502" Type="http://schemas.openxmlformats.org/officeDocument/2006/relationships/hyperlink" Target="https://www.google.com/maps/search/?api=1&amp;query=-7.856346,110.062108" TargetMode="External"/><Relationship Id="rId76" Type="http://schemas.openxmlformats.org/officeDocument/2006/relationships/hyperlink" Target="https://www.google.com/maps/search/?api=1&amp;query=-7.825811,110.164663" TargetMode="External"/><Relationship Id="rId141" Type="http://schemas.openxmlformats.org/officeDocument/2006/relationships/hyperlink" Target="peta/baseline_17409.png" TargetMode="External"/><Relationship Id="rId379" Type="http://schemas.openxmlformats.org/officeDocument/2006/relationships/hyperlink" Target="https://www.google.com/maps/search/?api=1&amp;query=-7.910758,110.129113" TargetMode="External"/><Relationship Id="rId586" Type="http://schemas.openxmlformats.org/officeDocument/2006/relationships/hyperlink" Target="https://www.google.com/maps/search/?api=1&amp;query=-7.922675,110.208921" TargetMode="External"/><Relationship Id="rId7" Type="http://schemas.openxmlformats.org/officeDocument/2006/relationships/hyperlink" Target="https://www.google.com/maps/search/?api=1&amp;query=-7.896115,110.050226" TargetMode="External"/><Relationship Id="rId239" Type="http://schemas.openxmlformats.org/officeDocument/2006/relationships/hyperlink" Target="https://www.google.com/maps/search/?api=1&amp;query=-7.880232,110.142826" TargetMode="External"/><Relationship Id="rId446" Type="http://schemas.openxmlformats.org/officeDocument/2006/relationships/hyperlink" Target="https://www.google.com/maps/search/?api=1&amp;query=-7.823968,110.211718" TargetMode="External"/><Relationship Id="rId653" Type="http://schemas.openxmlformats.org/officeDocument/2006/relationships/hyperlink" Target="https://www.google.com/maps/search/?api=1&amp;query=-7.923944,110.210145" TargetMode="External"/><Relationship Id="rId292" Type="http://schemas.openxmlformats.org/officeDocument/2006/relationships/hyperlink" Target="https://www.google.com/maps/search/?api=1&amp;query=-7.813941,110.110270" TargetMode="External"/><Relationship Id="rId306" Type="http://schemas.openxmlformats.org/officeDocument/2006/relationships/hyperlink" Target="peta/rendah_13946.png" TargetMode="External"/><Relationship Id="rId87" Type="http://schemas.openxmlformats.org/officeDocument/2006/relationships/hyperlink" Target="peta/baseline_11746.png" TargetMode="External"/><Relationship Id="rId513" Type="http://schemas.openxmlformats.org/officeDocument/2006/relationships/hyperlink" Target="peta\sedang_9956.png" TargetMode="External"/><Relationship Id="rId597" Type="http://schemas.openxmlformats.org/officeDocument/2006/relationships/hyperlink" Target="peta\sedang_16438.png" TargetMode="External"/><Relationship Id="rId720" Type="http://schemas.openxmlformats.org/officeDocument/2006/relationships/hyperlink" Target="peta/tinggi_13140.png" TargetMode="External"/><Relationship Id="rId152" Type="http://schemas.openxmlformats.org/officeDocument/2006/relationships/hyperlink" Target="https://www.google.com/maps/search/?api=1&amp;query=-7.895045,110.055478" TargetMode="External"/><Relationship Id="rId457" Type="http://schemas.openxmlformats.org/officeDocument/2006/relationships/hyperlink" Target="https://www.google.com/maps/search/?api=1&amp;query=-7.822176,110.156507" TargetMode="External"/><Relationship Id="rId664" Type="http://schemas.openxmlformats.org/officeDocument/2006/relationships/hyperlink" Target="https://www.google.com/maps/search/?api=1&amp;query=-7.823193,110.214551" TargetMode="External"/><Relationship Id="rId14" Type="http://schemas.openxmlformats.org/officeDocument/2006/relationships/hyperlink" Target="https://www.google.com/maps/search/?api=1&amp;query=-7.872052,110.150730" TargetMode="External"/><Relationship Id="rId317" Type="http://schemas.openxmlformats.org/officeDocument/2006/relationships/hyperlink" Target="https://www.google.com/maps/search/?api=1&amp;query=-7.728007,110.186293" TargetMode="External"/><Relationship Id="rId524" Type="http://schemas.openxmlformats.org/officeDocument/2006/relationships/hyperlink" Target="https://www.google.com/maps/search/?api=1&amp;query=-7.827605,110.213348" TargetMode="External"/><Relationship Id="rId731" Type="http://schemas.openxmlformats.org/officeDocument/2006/relationships/hyperlink" Target="https://www.google.com/maps/search/?api=1&amp;query=-7.733637,110.186243" TargetMode="External"/><Relationship Id="rId98" Type="http://schemas.openxmlformats.org/officeDocument/2006/relationships/hyperlink" Target="https://www.google.com/maps/search/?api=1&amp;query=-7.754016,110.176027" TargetMode="External"/><Relationship Id="rId163" Type="http://schemas.openxmlformats.org/officeDocument/2006/relationships/hyperlink" Target="https://www.google.com/maps/search/?api=1&amp;query=-7.910758,110.129113" TargetMode="External"/><Relationship Id="rId370" Type="http://schemas.openxmlformats.org/officeDocument/2006/relationships/hyperlink" Target="https://www.google.com/maps/search/?api=1&amp;query=-7.906113,110.071974" TargetMode="External"/><Relationship Id="rId230" Type="http://schemas.openxmlformats.org/officeDocument/2006/relationships/hyperlink" Target="https://www.google.com/maps/search/?api=1&amp;query=-7.824968,110.154332" TargetMode="External"/><Relationship Id="rId468" Type="http://schemas.openxmlformats.org/officeDocument/2006/relationships/hyperlink" Target="peta/sedang_5878.png" TargetMode="External"/><Relationship Id="rId675" Type="http://schemas.openxmlformats.org/officeDocument/2006/relationships/hyperlink" Target="peta\tinggi_5878.png" TargetMode="External"/><Relationship Id="rId25" Type="http://schemas.openxmlformats.org/officeDocument/2006/relationships/hyperlink" Target="https://www.google.com/maps/search/?api=1&amp;query=-7.822175,110.155600" TargetMode="External"/><Relationship Id="rId328" Type="http://schemas.openxmlformats.org/officeDocument/2006/relationships/hyperlink" Target="https://www.google.com/maps/search/?api=1&amp;query=-7.897928,110.052036" TargetMode="External"/><Relationship Id="rId535" Type="http://schemas.openxmlformats.org/officeDocument/2006/relationships/hyperlink" Target="https://www.google.com/maps/search/?api=1&amp;query=-7.912765,110.229805" TargetMode="External"/><Relationship Id="rId742" Type="http://schemas.openxmlformats.org/officeDocument/2006/relationships/hyperlink" Target="https://www.google.com/maps/search/?api=1&amp;query=-7.767083,110.197426" TargetMode="External"/><Relationship Id="rId174" Type="http://schemas.openxmlformats.org/officeDocument/2006/relationships/hyperlink" Target="peta/baseline_20081.png" TargetMode="External"/><Relationship Id="rId381" Type="http://schemas.openxmlformats.org/officeDocument/2006/relationships/hyperlink" Target="peta/rendah_18975.png" TargetMode="External"/><Relationship Id="rId602" Type="http://schemas.openxmlformats.org/officeDocument/2006/relationships/hyperlink" Target="https://www.google.com/maps/search/?api=1&amp;query=-7.648467,110.188632" TargetMode="External"/><Relationship Id="rId241" Type="http://schemas.openxmlformats.org/officeDocument/2006/relationships/hyperlink" Target="https://www.google.com/maps/search/?api=1&amp;query=-7.861993,110.166404" TargetMode="External"/><Relationship Id="rId479" Type="http://schemas.openxmlformats.org/officeDocument/2006/relationships/hyperlink" Target="https://www.google.com/maps/search/?api=1&amp;query=-7.824432,110.159622" TargetMode="External"/><Relationship Id="rId686" Type="http://schemas.openxmlformats.org/officeDocument/2006/relationships/hyperlink" Target="https://www.google.com/maps/search/?api=1&amp;query=-7.824968,110.154332" TargetMode="External"/><Relationship Id="rId36" Type="http://schemas.openxmlformats.org/officeDocument/2006/relationships/hyperlink" Target="peta/baseline_6528.png" TargetMode="External"/><Relationship Id="rId339" Type="http://schemas.openxmlformats.org/officeDocument/2006/relationships/hyperlink" Target="peta/rendah_16438.png" TargetMode="External"/><Relationship Id="rId546" Type="http://schemas.openxmlformats.org/officeDocument/2006/relationships/hyperlink" Target="peta\sedang_11948.png" TargetMode="External"/><Relationship Id="rId753" Type="http://schemas.openxmlformats.org/officeDocument/2006/relationships/hyperlink" Target="peta\tinggi_16216.png" TargetMode="External"/><Relationship Id="rId101" Type="http://schemas.openxmlformats.org/officeDocument/2006/relationships/hyperlink" Target="https://www.google.com/maps/search/?api=1&amp;query=-7.893593,110.052037" TargetMode="External"/><Relationship Id="rId185" Type="http://schemas.openxmlformats.org/officeDocument/2006/relationships/hyperlink" Target="https://www.google.com/maps/search/?api=1&amp;query=-7.910415,110.228884" TargetMode="External"/><Relationship Id="rId406" Type="http://schemas.openxmlformats.org/officeDocument/2006/relationships/hyperlink" Target="https://www.google.com/maps/search/?api=1&amp;query=-7.913669,110.229803" TargetMode="External"/><Relationship Id="rId392" Type="http://schemas.openxmlformats.org/officeDocument/2006/relationships/hyperlink" Target="https://www.google.com/maps/search/?api=1&amp;query=-7.927862,110.128547" TargetMode="External"/><Relationship Id="rId613" Type="http://schemas.openxmlformats.org/officeDocument/2006/relationships/hyperlink" Target="https://www.google.com/maps/search/?api=1&amp;query=-7.947023,110.171677" TargetMode="External"/><Relationship Id="rId697" Type="http://schemas.openxmlformats.org/officeDocument/2006/relationships/hyperlink" Target="https://www.google.com/maps/search/?api=1&amp;query=-7.822288,110.214553" TargetMode="External"/><Relationship Id="rId252" Type="http://schemas.openxmlformats.org/officeDocument/2006/relationships/hyperlink" Target="peta/rendah_7644.png" TargetMode="External"/><Relationship Id="rId47" Type="http://schemas.openxmlformats.org/officeDocument/2006/relationships/hyperlink" Target="https://www.google.com/maps/search/?api=1&amp;query=-7.764415,110.166323" TargetMode="External"/><Relationship Id="rId112" Type="http://schemas.openxmlformats.org/officeDocument/2006/relationships/hyperlink" Target="https://www.google.com/maps/search/?api=1&amp;query=-7.898836,110.053848" TargetMode="External"/><Relationship Id="rId557" Type="http://schemas.openxmlformats.org/officeDocument/2006/relationships/hyperlink" Target="https://www.google.com/maps/search/?api=1&amp;query=-7.814606,110.171039" TargetMode="External"/><Relationship Id="rId764" Type="http://schemas.openxmlformats.org/officeDocument/2006/relationships/hyperlink" Target="https://www.google.com/maps/search/?api=1&amp;query=-7.693762,110.192578" TargetMode="External"/><Relationship Id="rId196" Type="http://schemas.openxmlformats.org/officeDocument/2006/relationships/hyperlink" Target="https://www.google.com/maps/search/?api=1&amp;query=-7.896117,110.051133" TargetMode="External"/><Relationship Id="rId417" Type="http://schemas.openxmlformats.org/officeDocument/2006/relationships/hyperlink" Target="peta/rendah_21653.png" TargetMode="External"/><Relationship Id="rId624" Type="http://schemas.openxmlformats.org/officeDocument/2006/relationships/hyperlink" Target="peta/sedang_18583.png" TargetMode="External"/><Relationship Id="rId263" Type="http://schemas.openxmlformats.org/officeDocument/2006/relationships/hyperlink" Target="https://www.google.com/maps/search/?api=1&amp;query=-7.880232,110.142826" TargetMode="External"/><Relationship Id="rId470" Type="http://schemas.openxmlformats.org/officeDocument/2006/relationships/hyperlink" Target="https://www.google.com/maps/search/?api=1&amp;query=-7.824432,110.159622" TargetMode="External"/><Relationship Id="rId58" Type="http://schemas.openxmlformats.org/officeDocument/2006/relationships/hyperlink" Target="https://www.google.com/maps/search/?api=1&amp;query=-7.760728,110.184742" TargetMode="External"/><Relationship Id="rId123" Type="http://schemas.openxmlformats.org/officeDocument/2006/relationships/hyperlink" Target="peta/baseline_16123.png" TargetMode="External"/><Relationship Id="rId330" Type="http://schemas.openxmlformats.org/officeDocument/2006/relationships/hyperlink" Target="peta/rendah_16123.png" TargetMode="External"/><Relationship Id="rId568" Type="http://schemas.openxmlformats.org/officeDocument/2006/relationships/hyperlink" Target="https://www.google.com/maps/search/?api=1&amp;query=-7.947926,110.170768" TargetMode="External"/><Relationship Id="rId775" Type="http://schemas.openxmlformats.org/officeDocument/2006/relationships/hyperlink" Target="https://www.google.com/maps/search/?api=1&amp;query=-7.894573,110.176318" TargetMode="External"/><Relationship Id="rId428" Type="http://schemas.openxmlformats.org/officeDocument/2006/relationships/hyperlink" Target="https://www.google.com/maps/search/?api=1&amp;query=-7.895642,110.058012" TargetMode="External"/><Relationship Id="rId635" Type="http://schemas.openxmlformats.org/officeDocument/2006/relationships/hyperlink" Target="https://www.google.com/maps/search/?api=1&amp;query=-7.944964,110.170059" TargetMode="External"/><Relationship Id="rId274" Type="http://schemas.openxmlformats.org/officeDocument/2006/relationships/hyperlink" Target="https://www.google.com/maps/search/?api=1&amp;query=-7.879134,110.144600" TargetMode="External"/><Relationship Id="rId481" Type="http://schemas.openxmlformats.org/officeDocument/2006/relationships/hyperlink" Target="https://www.google.com/maps/search/?api=1&amp;query=-7.823079,110.155598" TargetMode="External"/><Relationship Id="rId702" Type="http://schemas.openxmlformats.org/officeDocument/2006/relationships/hyperlink" Target="peta/tinggi_9702.png" TargetMode="External"/><Relationship Id="rId69" Type="http://schemas.openxmlformats.org/officeDocument/2006/relationships/hyperlink" Target="peta/baseline_9061.png" TargetMode="External"/><Relationship Id="rId134" Type="http://schemas.openxmlformats.org/officeDocument/2006/relationships/hyperlink" Target="https://www.google.com/maps/search/?api=1&amp;query=-7.901090,110.144181" TargetMode="External"/><Relationship Id="rId579" Type="http://schemas.openxmlformats.org/officeDocument/2006/relationships/hyperlink" Target="peta\sedang_14598.png" TargetMode="External"/><Relationship Id="rId786" Type="http://schemas.openxmlformats.org/officeDocument/2006/relationships/hyperlink" Target="peta\tinggi_21012.png" TargetMode="External"/><Relationship Id="rId341" Type="http://schemas.openxmlformats.org/officeDocument/2006/relationships/hyperlink" Target="https://www.google.com/maps/search/?api=1&amp;query=-7.648467,110.188632" TargetMode="External"/><Relationship Id="rId439" Type="http://schemas.openxmlformats.org/officeDocument/2006/relationships/hyperlink" Target="https://www.google.com/maps/search/?api=1&amp;query=-7.823191,110.213644" TargetMode="External"/><Relationship Id="rId646" Type="http://schemas.openxmlformats.org/officeDocument/2006/relationships/hyperlink" Target="https://www.google.com/maps/search/?api=1&amp;query=-7.946121,110.172586" TargetMode="External"/><Relationship Id="rId201" Type="http://schemas.openxmlformats.org/officeDocument/2006/relationships/hyperlink" Target="peta\baseline_22148.png" TargetMode="External"/><Relationship Id="rId285" Type="http://schemas.openxmlformats.org/officeDocument/2006/relationships/hyperlink" Target="peta/rendah_10293.png" TargetMode="External"/><Relationship Id="rId506" Type="http://schemas.openxmlformats.org/officeDocument/2006/relationships/hyperlink" Target="https://www.google.com/maps/search/?api=1&amp;query=-7.823968,110.211718" TargetMode="External"/><Relationship Id="rId492" Type="http://schemas.openxmlformats.org/officeDocument/2006/relationships/hyperlink" Target="peta/sedang_7993.png" TargetMode="External"/><Relationship Id="rId713" Type="http://schemas.openxmlformats.org/officeDocument/2006/relationships/hyperlink" Target="https://www.google.com/maps/search/?api=1&amp;query=-7.762232,110.191306" TargetMode="External"/><Relationship Id="rId145" Type="http://schemas.openxmlformats.org/officeDocument/2006/relationships/hyperlink" Target="https://www.google.com/maps/search/?api=1&amp;query=-7.906115,110.072881" TargetMode="External"/><Relationship Id="rId352" Type="http://schemas.openxmlformats.org/officeDocument/2006/relationships/hyperlink" Target="https://www.google.com/maps/search/?api=1&amp;query=-7.912763,110.228897" TargetMode="External"/><Relationship Id="rId212" Type="http://schemas.openxmlformats.org/officeDocument/2006/relationships/hyperlink" Target="https://www.google.com/maps/search/?api=1&amp;query=-7.893593,110.052037" TargetMode="External"/><Relationship Id="rId657" Type="http://schemas.openxmlformats.org/officeDocument/2006/relationships/hyperlink" Target="peta/sedang_22574.png" TargetMode="External"/><Relationship Id="rId296" Type="http://schemas.openxmlformats.org/officeDocument/2006/relationships/hyperlink" Target="https://www.google.com/maps/search/?api=1&amp;query=-7.786417,110.147567" TargetMode="External"/><Relationship Id="rId517" Type="http://schemas.openxmlformats.org/officeDocument/2006/relationships/hyperlink" Target="https://www.google.com/maps/search/?api=1&amp;query=-7.821277,110.159230" TargetMode="External"/><Relationship Id="rId724" Type="http://schemas.openxmlformats.org/officeDocument/2006/relationships/hyperlink" Target="https://www.google.com/maps/search/?api=1&amp;query=-7.693812,110.193031" TargetMode="External"/><Relationship Id="rId60" Type="http://schemas.openxmlformats.org/officeDocument/2006/relationships/hyperlink" Target="peta/baseline_8750.png" TargetMode="External"/><Relationship Id="rId156" Type="http://schemas.openxmlformats.org/officeDocument/2006/relationships/hyperlink" Target="peta/baseline_18237.png" TargetMode="External"/><Relationship Id="rId363" Type="http://schemas.openxmlformats.org/officeDocument/2006/relationships/hyperlink" Target="peta/rendah_17845.png" TargetMode="External"/><Relationship Id="rId570" Type="http://schemas.openxmlformats.org/officeDocument/2006/relationships/hyperlink" Target="peta\sedang_13236.png" TargetMode="External"/><Relationship Id="rId223" Type="http://schemas.openxmlformats.org/officeDocument/2006/relationships/hyperlink" Target="https://www.google.com/maps/search/?api=1&amp;query=-7.929750,110.128166" TargetMode="External"/><Relationship Id="rId430" Type="http://schemas.openxmlformats.org/officeDocument/2006/relationships/hyperlink" Target="https://www.google.com/maps/search/?api=1&amp;query=-7.905208,110.071976" TargetMode="External"/><Relationship Id="rId668" Type="http://schemas.openxmlformats.org/officeDocument/2006/relationships/hyperlink" Target="https://www.google.com/maps/search/?api=1&amp;query=-7.824968,110.154332" TargetMode="External"/><Relationship Id="rId18" Type="http://schemas.openxmlformats.org/officeDocument/2006/relationships/hyperlink" Target="peta/baseline_3083.png" TargetMode="External"/><Relationship Id="rId528" Type="http://schemas.openxmlformats.org/officeDocument/2006/relationships/hyperlink" Target="peta/sedang_10545.png" TargetMode="External"/><Relationship Id="rId735" Type="http://schemas.openxmlformats.org/officeDocument/2006/relationships/hyperlink" Target="peta\tinggi_13764.png" TargetMode="External"/><Relationship Id="rId167" Type="http://schemas.openxmlformats.org/officeDocument/2006/relationships/hyperlink" Target="https://www.google.com/maps/search/?api=1&amp;query=-7.903177,110.072831" TargetMode="External"/><Relationship Id="rId374" Type="http://schemas.openxmlformats.org/officeDocument/2006/relationships/hyperlink" Target="https://www.google.com/maps/search/?api=1&amp;query=-7.927862,110.128547" TargetMode="External"/><Relationship Id="rId581" Type="http://schemas.openxmlformats.org/officeDocument/2006/relationships/hyperlink" Target="https://www.google.com/maps/search/?api=1&amp;query=-7.923944,110.210145" TargetMode="External"/><Relationship Id="rId71" Type="http://schemas.openxmlformats.org/officeDocument/2006/relationships/hyperlink" Target="https://www.google.com/maps/search/?api=1&amp;query=-7.819909,110.112674" TargetMode="External"/><Relationship Id="rId234" Type="http://schemas.openxmlformats.org/officeDocument/2006/relationships/hyperlink" Target="peta/rendah_5481.png" TargetMode="External"/><Relationship Id="rId679" Type="http://schemas.openxmlformats.org/officeDocument/2006/relationships/hyperlink" Target="https://www.google.com/maps/search/?api=1&amp;query=-7.822287,110.213646" TargetMode="External"/><Relationship Id="rId2" Type="http://schemas.openxmlformats.org/officeDocument/2006/relationships/hyperlink" Target="https://www.google.com/maps/search/?api=1&amp;query=-7.882983,110.141390" TargetMode="External"/><Relationship Id="rId29" Type="http://schemas.openxmlformats.org/officeDocument/2006/relationships/hyperlink" Target="https://www.google.com/maps/search/?api=1&amp;query=-7.872052,110.150730" TargetMode="External"/><Relationship Id="rId441" Type="http://schemas.openxmlformats.org/officeDocument/2006/relationships/hyperlink" Target="peta/sedang_1536.png" TargetMode="External"/><Relationship Id="rId539" Type="http://schemas.openxmlformats.org/officeDocument/2006/relationships/hyperlink" Target="https://www.google.com/maps/search/?api=1&amp;query=-7.814606,110.171039" TargetMode="External"/><Relationship Id="rId746" Type="http://schemas.openxmlformats.org/officeDocument/2006/relationships/hyperlink" Target="https://www.google.com/maps/search/?api=1&amp;query=-7.923944,110.210145" TargetMode="External"/><Relationship Id="rId178" Type="http://schemas.openxmlformats.org/officeDocument/2006/relationships/hyperlink" Target="https://www.google.com/maps/search/?api=1&amp;query=-7.908834,110.075596" TargetMode="External"/><Relationship Id="rId301" Type="http://schemas.openxmlformats.org/officeDocument/2006/relationships/hyperlink" Target="https://www.google.com/maps/search/?api=1&amp;query=-7.731791,110.188425" TargetMode="External"/><Relationship Id="rId82" Type="http://schemas.openxmlformats.org/officeDocument/2006/relationships/hyperlink" Target="https://www.google.com/maps/search/?api=1&amp;query=-7.912765,110.229805" TargetMode="External"/><Relationship Id="rId385" Type="http://schemas.openxmlformats.org/officeDocument/2006/relationships/hyperlink" Target="https://www.google.com/maps/search/?api=1&amp;query=-7.906111,110.071067" TargetMode="External"/><Relationship Id="rId592" Type="http://schemas.openxmlformats.org/officeDocument/2006/relationships/hyperlink" Target="https://www.google.com/maps/search/?api=1&amp;query=-7.731790,110.187518" TargetMode="External"/><Relationship Id="rId606" Type="http://schemas.openxmlformats.org/officeDocument/2006/relationships/hyperlink" Target="peta\sedang_17082.png" TargetMode="External"/><Relationship Id="rId245" Type="http://schemas.openxmlformats.org/officeDocument/2006/relationships/hyperlink" Target="https://www.google.com/maps/search/?api=1&amp;query=-7.872052,110.150730" TargetMode="External"/><Relationship Id="rId452" Type="http://schemas.openxmlformats.org/officeDocument/2006/relationships/hyperlink" Target="https://www.google.com/maps/search/?api=1&amp;query=-7.864684,110.191643" TargetMode="External"/><Relationship Id="rId105" Type="http://schemas.openxmlformats.org/officeDocument/2006/relationships/hyperlink" Target="peta/baseline_14225.png" TargetMode="External"/><Relationship Id="rId312" Type="http://schemas.openxmlformats.org/officeDocument/2006/relationships/hyperlink" Target="peta/rendah_14225.png" TargetMode="External"/><Relationship Id="rId757" Type="http://schemas.openxmlformats.org/officeDocument/2006/relationships/hyperlink" Target="https://www.google.com/maps/search/?api=1&amp;query=-7.647678,110.190398" TargetMode="External"/><Relationship Id="rId93" Type="http://schemas.openxmlformats.org/officeDocument/2006/relationships/hyperlink" Target="peta/baseline_13173.png" TargetMode="External"/><Relationship Id="rId189" Type="http://schemas.openxmlformats.org/officeDocument/2006/relationships/hyperlink" Target="peta/baseline_21421.png" TargetMode="External"/><Relationship Id="rId396" Type="http://schemas.openxmlformats.org/officeDocument/2006/relationships/hyperlink" Target="peta/rendah_20081.png" TargetMode="External"/><Relationship Id="rId617" Type="http://schemas.openxmlformats.org/officeDocument/2006/relationships/hyperlink" Target="https://www.google.com/maps/search/?api=1&amp;query=-7.691147,110.154083" TargetMode="External"/><Relationship Id="rId256" Type="http://schemas.openxmlformats.org/officeDocument/2006/relationships/hyperlink" Target="https://www.google.com/maps/search/?api=1&amp;query=-7.871904,110.147336" TargetMode="External"/><Relationship Id="rId463" Type="http://schemas.openxmlformats.org/officeDocument/2006/relationships/hyperlink" Target="https://www.google.com/maps/search/?api=1&amp;query=-7.822175,110.155600" TargetMode="External"/><Relationship Id="rId670" Type="http://schemas.openxmlformats.org/officeDocument/2006/relationships/hyperlink" Target="https://www.google.com/maps/search/?api=1&amp;query=-7.822175,110.155600" TargetMode="External"/><Relationship Id="rId116" Type="http://schemas.openxmlformats.org/officeDocument/2006/relationships/hyperlink" Target="https://www.google.com/maps/search/?api=1&amp;query=-7.895642,110.058012" TargetMode="External"/><Relationship Id="rId323" Type="http://schemas.openxmlformats.org/officeDocument/2006/relationships/hyperlink" Target="https://www.google.com/maps/search/?api=1&amp;query=-7.895642,110.058012" TargetMode="External"/><Relationship Id="rId530" Type="http://schemas.openxmlformats.org/officeDocument/2006/relationships/hyperlink" Target="https://www.google.com/maps/search/?api=1&amp;query=-7.861112,110.215359" TargetMode="External"/><Relationship Id="rId768" Type="http://schemas.openxmlformats.org/officeDocument/2006/relationships/hyperlink" Target="peta\tinggi_17409.png" TargetMode="External"/><Relationship Id="rId20" Type="http://schemas.openxmlformats.org/officeDocument/2006/relationships/hyperlink" Target="https://www.google.com/maps/search/?api=1&amp;query=-7.857944,110.171546" TargetMode="External"/><Relationship Id="rId628" Type="http://schemas.openxmlformats.org/officeDocument/2006/relationships/hyperlink" Target="https://www.google.com/maps/search/?api=1&amp;query=-7.925388,110.208916" TargetMode="External"/><Relationship Id="rId267" Type="http://schemas.openxmlformats.org/officeDocument/2006/relationships/hyperlink" Target="peta/rendah_8750.png" TargetMode="External"/><Relationship Id="rId474" Type="http://schemas.openxmlformats.org/officeDocument/2006/relationships/hyperlink" Target="peta/sedang_6574.png" TargetMode="External"/><Relationship Id="rId127" Type="http://schemas.openxmlformats.org/officeDocument/2006/relationships/hyperlink" Target="https://www.google.com/maps/search/?api=1&amp;query=-7.729979,110.186615" TargetMode="External"/><Relationship Id="rId681" Type="http://schemas.openxmlformats.org/officeDocument/2006/relationships/hyperlink" Target="peta/tinggi_6574.png" TargetMode="External"/><Relationship Id="rId779" Type="http://schemas.openxmlformats.org/officeDocument/2006/relationships/hyperlink" Target="https://www.google.com/maps/search/?api=1&amp;query=-7.923944,110.210145" TargetMode="External"/><Relationship Id="rId31" Type="http://schemas.openxmlformats.org/officeDocument/2006/relationships/hyperlink" Target="https://www.google.com/maps/search/?api=1&amp;query=-7.877325,110.144604" TargetMode="External"/><Relationship Id="rId334" Type="http://schemas.openxmlformats.org/officeDocument/2006/relationships/hyperlink" Target="https://www.google.com/maps/search/?api=1&amp;query=-7.930652,110.127257" TargetMode="External"/><Relationship Id="rId541" Type="http://schemas.openxmlformats.org/officeDocument/2006/relationships/hyperlink" Target="https://www.google.com/maps/search/?api=1&amp;query=-7.813941,110.110270" TargetMode="External"/><Relationship Id="rId639" Type="http://schemas.openxmlformats.org/officeDocument/2006/relationships/hyperlink" Target="peta/sedang_20620.png" TargetMode="External"/><Relationship Id="rId180" Type="http://schemas.openxmlformats.org/officeDocument/2006/relationships/hyperlink" Target="peta/baseline_20989.png" TargetMode="External"/><Relationship Id="rId278" Type="http://schemas.openxmlformats.org/officeDocument/2006/relationships/hyperlink" Target="https://www.google.com/maps/search/?api=1&amp;query=-7.819909,110.112674" TargetMode="External"/><Relationship Id="rId401" Type="http://schemas.openxmlformats.org/officeDocument/2006/relationships/hyperlink" Target="https://www.google.com/maps/search/?api=1&amp;query=-7.907210,110.077453" TargetMode="External"/><Relationship Id="rId485" Type="http://schemas.openxmlformats.org/officeDocument/2006/relationships/hyperlink" Target="https://www.google.com/maps/search/?api=1&amp;query=-7.814606,110.171039" TargetMode="External"/><Relationship Id="rId692" Type="http://schemas.openxmlformats.org/officeDocument/2006/relationships/hyperlink" Target="https://www.google.com/maps/search/?api=1&amp;query=-7.823968,110.211718" TargetMode="External"/><Relationship Id="rId706" Type="http://schemas.openxmlformats.org/officeDocument/2006/relationships/hyperlink" Target="https://www.google.com/maps/search/?api=1&amp;query=-7.828618,110.213634" TargetMode="External"/><Relationship Id="rId42" Type="http://schemas.openxmlformats.org/officeDocument/2006/relationships/hyperlink" Target="peta/baseline_7393.png" TargetMode="External"/><Relationship Id="rId138" Type="http://schemas.openxmlformats.org/officeDocument/2006/relationships/hyperlink" Target="peta/baseline_17290.png" TargetMode="External"/><Relationship Id="rId345" Type="http://schemas.openxmlformats.org/officeDocument/2006/relationships/hyperlink" Target="peta/rendah_17227.png" TargetMode="External"/><Relationship Id="rId552" Type="http://schemas.openxmlformats.org/officeDocument/2006/relationships/hyperlink" Target="peta\sedang_12627.png" TargetMode="External"/><Relationship Id="rId191" Type="http://schemas.openxmlformats.org/officeDocument/2006/relationships/hyperlink" Target="https://www.google.com/maps/search/?api=1&amp;query=-7.893593,110.052037" TargetMode="External"/><Relationship Id="rId205" Type="http://schemas.openxmlformats.org/officeDocument/2006/relationships/hyperlink" Target="https://www.google.com/maps/search/?api=1&amp;query=-7.883654,110.143684" TargetMode="External"/><Relationship Id="rId412" Type="http://schemas.openxmlformats.org/officeDocument/2006/relationships/hyperlink" Target="https://www.google.com/maps/search/?api=1&amp;query=-7.895212,110.051135" TargetMode="External"/><Relationship Id="rId289" Type="http://schemas.openxmlformats.org/officeDocument/2006/relationships/hyperlink" Target="https://www.google.com/maps/search/?api=1&amp;query=-7.912765,110.229805" TargetMode="External"/><Relationship Id="rId496" Type="http://schemas.openxmlformats.org/officeDocument/2006/relationships/hyperlink" Target="https://www.google.com/maps/search/?api=1&amp;query=-7.760728,110.184742" TargetMode="External"/><Relationship Id="rId717" Type="http://schemas.openxmlformats.org/officeDocument/2006/relationships/hyperlink" Target="peta/tinggi_12710.png" TargetMode="External"/><Relationship Id="rId53" Type="http://schemas.openxmlformats.org/officeDocument/2006/relationships/hyperlink" Target="https://www.google.com/maps/search/?api=1&amp;query=-7.845358,110.172320" TargetMode="External"/><Relationship Id="rId149" Type="http://schemas.openxmlformats.org/officeDocument/2006/relationships/hyperlink" Target="https://www.google.com/maps/search/?api=1&amp;query=-7.691147,110.154083" TargetMode="External"/><Relationship Id="rId356" Type="http://schemas.openxmlformats.org/officeDocument/2006/relationships/hyperlink" Target="https://www.google.com/maps/search/?api=1&amp;query=-7.903177,110.072831" TargetMode="External"/><Relationship Id="rId563" Type="http://schemas.openxmlformats.org/officeDocument/2006/relationships/hyperlink" Target="https://www.google.com/maps/search/?api=1&amp;query=-7.923944,110.210145" TargetMode="External"/><Relationship Id="rId770" Type="http://schemas.openxmlformats.org/officeDocument/2006/relationships/hyperlink" Target="https://www.google.com/maps/search/?api=1&amp;query=-7.691147,110.154083" TargetMode="External"/><Relationship Id="rId216" Type="http://schemas.openxmlformats.org/officeDocument/2006/relationships/hyperlink" Target="peta/rendah_1198.png" TargetMode="External"/><Relationship Id="rId423" Type="http://schemas.openxmlformats.org/officeDocument/2006/relationships/hyperlink" Target="peta/rendah_21723.png" TargetMode="External"/><Relationship Id="rId258" Type="http://schemas.openxmlformats.org/officeDocument/2006/relationships/hyperlink" Target="peta/rendah_7857.png" TargetMode="External"/><Relationship Id="rId465" Type="http://schemas.openxmlformats.org/officeDocument/2006/relationships/hyperlink" Target="peta/sedang_5481.png" TargetMode="External"/><Relationship Id="rId630" Type="http://schemas.openxmlformats.org/officeDocument/2006/relationships/hyperlink" Target="peta/sedang_19847.png" TargetMode="External"/><Relationship Id="rId672" Type="http://schemas.openxmlformats.org/officeDocument/2006/relationships/hyperlink" Target="peta/tinggi_5481.png" TargetMode="External"/><Relationship Id="rId728" Type="http://schemas.openxmlformats.org/officeDocument/2006/relationships/hyperlink" Target="https://www.google.com/maps/search/?api=1&amp;query=-7.790566,110.152157" TargetMode="External"/><Relationship Id="rId22" Type="http://schemas.openxmlformats.org/officeDocument/2006/relationships/hyperlink" Target="https://www.google.com/maps/search/?api=1&amp;query=-7.822176,110.156507" TargetMode="External"/><Relationship Id="rId64" Type="http://schemas.openxmlformats.org/officeDocument/2006/relationships/hyperlink" Target="https://www.google.com/maps/search/?api=1&amp;query=-7.860187,110.168222" TargetMode="External"/><Relationship Id="rId118" Type="http://schemas.openxmlformats.org/officeDocument/2006/relationships/hyperlink" Target="https://www.google.com/maps/search/?api=1&amp;query=-7.910756,110.128206" TargetMode="External"/><Relationship Id="rId325" Type="http://schemas.openxmlformats.org/officeDocument/2006/relationships/hyperlink" Target="https://www.google.com/maps/search/?api=1&amp;query=-7.910756,110.128206" TargetMode="External"/><Relationship Id="rId367" Type="http://schemas.openxmlformats.org/officeDocument/2006/relationships/hyperlink" Target="https://www.google.com/maps/search/?api=1&amp;query=-7.895210,110.050228" TargetMode="External"/><Relationship Id="rId532" Type="http://schemas.openxmlformats.org/officeDocument/2006/relationships/hyperlink" Target="https://www.google.com/maps/search/?api=1&amp;query=-7.822184,110.160135" TargetMode="External"/><Relationship Id="rId574" Type="http://schemas.openxmlformats.org/officeDocument/2006/relationships/hyperlink" Target="https://www.google.com/maps/search/?api=1&amp;query=-7.755283,110.175684" TargetMode="External"/><Relationship Id="rId171" Type="http://schemas.openxmlformats.org/officeDocument/2006/relationships/hyperlink" Target="peta/baseline_19779.png" TargetMode="External"/><Relationship Id="rId227" Type="http://schemas.openxmlformats.org/officeDocument/2006/relationships/hyperlink" Target="https://www.google.com/maps/search/?api=1&amp;query=-7.857944,110.171546" TargetMode="External"/><Relationship Id="rId781" Type="http://schemas.openxmlformats.org/officeDocument/2006/relationships/hyperlink" Target="https://www.google.com/maps/search/?api=1&amp;query=-7.892763,110.175414" TargetMode="External"/><Relationship Id="rId269" Type="http://schemas.openxmlformats.org/officeDocument/2006/relationships/hyperlink" Target="https://www.google.com/maps/search/?api=1&amp;query=-7.880232,110.142826" TargetMode="External"/><Relationship Id="rId434" Type="http://schemas.openxmlformats.org/officeDocument/2006/relationships/hyperlink" Target="https://www.google.com/maps/search/?api=1&amp;query=-7.893593,110.052037" TargetMode="External"/><Relationship Id="rId476" Type="http://schemas.openxmlformats.org/officeDocument/2006/relationships/hyperlink" Target="https://www.google.com/maps/search/?api=1&amp;query=-7.824432,110.159622" TargetMode="External"/><Relationship Id="rId641" Type="http://schemas.openxmlformats.org/officeDocument/2006/relationships/hyperlink" Target="https://www.google.com/maps/search/?api=1&amp;query=-7.893009,110.152691" TargetMode="External"/><Relationship Id="rId683" Type="http://schemas.openxmlformats.org/officeDocument/2006/relationships/hyperlink" Target="https://www.google.com/maps/search/?api=1&amp;query=-7.693762,110.192578" TargetMode="External"/><Relationship Id="rId739" Type="http://schemas.openxmlformats.org/officeDocument/2006/relationships/hyperlink" Target="https://www.google.com/maps/search/?api=1&amp;query=-7.728170,110.186618" TargetMode="External"/><Relationship Id="rId33" Type="http://schemas.openxmlformats.org/officeDocument/2006/relationships/hyperlink" Target="peta/baseline_6480.png" TargetMode="External"/><Relationship Id="rId129" Type="http://schemas.openxmlformats.org/officeDocument/2006/relationships/hyperlink" Target="peta/baseline_16438.png" TargetMode="External"/><Relationship Id="rId280" Type="http://schemas.openxmlformats.org/officeDocument/2006/relationships/hyperlink" Target="https://www.google.com/maps/search/?api=1&amp;query=-7.897021,110.051131" TargetMode="External"/><Relationship Id="rId336" Type="http://schemas.openxmlformats.org/officeDocument/2006/relationships/hyperlink" Target="peta/rendah_16428.png" TargetMode="External"/><Relationship Id="rId501" Type="http://schemas.openxmlformats.org/officeDocument/2006/relationships/hyperlink" Target="peta/sedang_9038.png" TargetMode="External"/><Relationship Id="rId543" Type="http://schemas.openxmlformats.org/officeDocument/2006/relationships/hyperlink" Target="peta\sedang_11746.png" TargetMode="External"/><Relationship Id="rId75" Type="http://schemas.openxmlformats.org/officeDocument/2006/relationships/hyperlink" Target="peta/baseline_10114.png" TargetMode="External"/><Relationship Id="rId140" Type="http://schemas.openxmlformats.org/officeDocument/2006/relationships/hyperlink" Target="https://www.google.com/maps/search/?api=1&amp;query=-7.717685,110.171439" TargetMode="External"/><Relationship Id="rId182" Type="http://schemas.openxmlformats.org/officeDocument/2006/relationships/hyperlink" Target="https://www.google.com/maps/search/?api=1&amp;query=-7.908012,110.129045" TargetMode="External"/><Relationship Id="rId378" Type="http://schemas.openxmlformats.org/officeDocument/2006/relationships/hyperlink" Target="peta/rendah_18583.png" TargetMode="External"/><Relationship Id="rId403" Type="http://schemas.openxmlformats.org/officeDocument/2006/relationships/hyperlink" Target="https://www.google.com/maps/search/?api=1&amp;query=-7.910754,110.127299" TargetMode="External"/><Relationship Id="rId585" Type="http://schemas.openxmlformats.org/officeDocument/2006/relationships/hyperlink" Target="peta\sedang_15418.png" TargetMode="External"/><Relationship Id="rId750" Type="http://schemas.openxmlformats.org/officeDocument/2006/relationships/hyperlink" Target="peta/tinggi_15645.png" TargetMode="External"/><Relationship Id="rId792" Type="http://schemas.openxmlformats.org/officeDocument/2006/relationships/hyperlink" Target="peta/tinggi_22271.png" TargetMode="External"/><Relationship Id="rId6" Type="http://schemas.openxmlformats.org/officeDocument/2006/relationships/hyperlink" Target="peta/baseline_712.png" TargetMode="External"/><Relationship Id="rId238" Type="http://schemas.openxmlformats.org/officeDocument/2006/relationships/hyperlink" Target="https://www.google.com/maps/search/?api=1&amp;query=-7.877325,110.144604" TargetMode="External"/><Relationship Id="rId445" Type="http://schemas.openxmlformats.org/officeDocument/2006/relationships/hyperlink" Target="https://www.google.com/maps/search/?api=1&amp;query=-7.823193,110.214551" TargetMode="External"/><Relationship Id="rId487" Type="http://schemas.openxmlformats.org/officeDocument/2006/relationships/hyperlink" Target="https://www.google.com/maps/search/?api=1&amp;query=-7.766114,110.163874" TargetMode="External"/><Relationship Id="rId610" Type="http://schemas.openxmlformats.org/officeDocument/2006/relationships/hyperlink" Target="https://www.google.com/maps/search/?api=1&amp;query=-7.912763,110.228897" TargetMode="External"/><Relationship Id="rId652" Type="http://schemas.openxmlformats.org/officeDocument/2006/relationships/hyperlink" Target="https://www.google.com/maps/search/?api=1&amp;query=-7.924486,110.209824" TargetMode="External"/><Relationship Id="rId694" Type="http://schemas.openxmlformats.org/officeDocument/2006/relationships/hyperlink" Target="https://www.google.com/maps/search/?api=1&amp;query=-7.760743,110.192903" TargetMode="External"/><Relationship Id="rId708" Type="http://schemas.openxmlformats.org/officeDocument/2006/relationships/hyperlink" Target="peta/tinggi_10663.png" TargetMode="External"/><Relationship Id="rId291" Type="http://schemas.openxmlformats.org/officeDocument/2006/relationships/hyperlink" Target="peta/rendah_11219.png" TargetMode="External"/><Relationship Id="rId305" Type="http://schemas.openxmlformats.org/officeDocument/2006/relationships/hyperlink" Target="https://www.google.com/maps/search/?api=1&amp;query=-7.754016,110.176027" TargetMode="External"/><Relationship Id="rId347" Type="http://schemas.openxmlformats.org/officeDocument/2006/relationships/hyperlink" Target="https://www.google.com/maps/search/?api=1&amp;query=-7.903177,110.072831" TargetMode="External"/><Relationship Id="rId512" Type="http://schemas.openxmlformats.org/officeDocument/2006/relationships/hyperlink" Target="https://www.google.com/maps/search/?api=1&amp;query=-7.828083,110.222222" TargetMode="External"/><Relationship Id="rId44" Type="http://schemas.openxmlformats.org/officeDocument/2006/relationships/hyperlink" Target="https://www.google.com/maps/search/?api=1&amp;query=-7.858997,110.165148" TargetMode="External"/><Relationship Id="rId86" Type="http://schemas.openxmlformats.org/officeDocument/2006/relationships/hyperlink" Target="https://www.google.com/maps/search/?api=1&amp;query=-7.812179,110.113256" TargetMode="External"/><Relationship Id="rId151" Type="http://schemas.openxmlformats.org/officeDocument/2006/relationships/hyperlink" Target="https://www.google.com/maps/search/?api=1&amp;query=-7.894320,110.056580" TargetMode="External"/><Relationship Id="rId389" Type="http://schemas.openxmlformats.org/officeDocument/2006/relationships/hyperlink" Target="https://www.google.com/maps/search/?api=1&amp;query=-7.903177,110.072831" TargetMode="External"/><Relationship Id="rId554" Type="http://schemas.openxmlformats.org/officeDocument/2006/relationships/hyperlink" Target="https://www.google.com/maps/search/?api=1&amp;query=-7.786417,110.147567" TargetMode="External"/><Relationship Id="rId596" Type="http://schemas.openxmlformats.org/officeDocument/2006/relationships/hyperlink" Target="https://www.google.com/maps/search/?api=1&amp;query=-7.728007,110.186293" TargetMode="External"/><Relationship Id="rId761" Type="http://schemas.openxmlformats.org/officeDocument/2006/relationships/hyperlink" Target="https://www.google.com/maps/search/?api=1&amp;query=-7.693762,110.192578" TargetMode="External"/><Relationship Id="rId193" Type="http://schemas.openxmlformats.org/officeDocument/2006/relationships/hyperlink" Target="https://www.google.com/maps/search/?api=1&amp;query=-7.909744,110.078316" TargetMode="External"/><Relationship Id="rId207" Type="http://schemas.openxmlformats.org/officeDocument/2006/relationships/hyperlink" Target="peta/rendah_256.png" TargetMode="External"/><Relationship Id="rId249" Type="http://schemas.openxmlformats.org/officeDocument/2006/relationships/hyperlink" Target="peta/rendah_7393.png" TargetMode="External"/><Relationship Id="rId414" Type="http://schemas.openxmlformats.org/officeDocument/2006/relationships/hyperlink" Target="peta/rendah_21632.png" TargetMode="External"/><Relationship Id="rId456" Type="http://schemas.openxmlformats.org/officeDocument/2006/relationships/hyperlink" Target="peta/sedang_4199.png" TargetMode="External"/><Relationship Id="rId498" Type="http://schemas.openxmlformats.org/officeDocument/2006/relationships/hyperlink" Target="peta/sedang_8750.png" TargetMode="External"/><Relationship Id="rId621" Type="http://schemas.openxmlformats.org/officeDocument/2006/relationships/hyperlink" Target="peta\sedang_18206.png" TargetMode="External"/><Relationship Id="rId663" Type="http://schemas.openxmlformats.org/officeDocument/2006/relationships/hyperlink" Target="peta/tinggi_1536.png" TargetMode="External"/><Relationship Id="rId13" Type="http://schemas.openxmlformats.org/officeDocument/2006/relationships/hyperlink" Target="https://www.google.com/maps/search/?api=1&amp;query=-7.872812,110.149148" TargetMode="External"/><Relationship Id="rId109" Type="http://schemas.openxmlformats.org/officeDocument/2006/relationships/hyperlink" Target="https://www.google.com/maps/search/?api=1&amp;query=-7.728170,110.186618" TargetMode="External"/><Relationship Id="rId260" Type="http://schemas.openxmlformats.org/officeDocument/2006/relationships/hyperlink" Target="https://www.google.com/maps/search/?api=1&amp;query=-7.845358,110.172320" TargetMode="External"/><Relationship Id="rId316" Type="http://schemas.openxmlformats.org/officeDocument/2006/relationships/hyperlink" Target="https://www.google.com/maps/search/?api=1&amp;query=-7.728170,110.186618" TargetMode="External"/><Relationship Id="rId523" Type="http://schemas.openxmlformats.org/officeDocument/2006/relationships/hyperlink" Target="https://www.google.com/maps/search/?api=1&amp;query=-7.826814,110.216358" TargetMode="External"/><Relationship Id="rId719" Type="http://schemas.openxmlformats.org/officeDocument/2006/relationships/hyperlink" Target="https://www.google.com/maps/search/?api=1&amp;query=-7.923944,110.210145" TargetMode="External"/><Relationship Id="rId55" Type="http://schemas.openxmlformats.org/officeDocument/2006/relationships/hyperlink" Target="https://www.google.com/maps/search/?api=1&amp;query=-7.880038,110.144598" TargetMode="External"/><Relationship Id="rId97" Type="http://schemas.openxmlformats.org/officeDocument/2006/relationships/hyperlink" Target="https://www.google.com/maps/search/?api=1&amp;query=-7.755283,110.175684" TargetMode="External"/><Relationship Id="rId120" Type="http://schemas.openxmlformats.org/officeDocument/2006/relationships/hyperlink" Target="peta/baseline_16007.png" TargetMode="External"/><Relationship Id="rId358" Type="http://schemas.openxmlformats.org/officeDocument/2006/relationships/hyperlink" Target="https://www.google.com/maps/search/?api=1&amp;query=-7.692832,110.154045" TargetMode="External"/><Relationship Id="rId565" Type="http://schemas.openxmlformats.org/officeDocument/2006/relationships/hyperlink" Target="https://www.google.com/maps/search/?api=1&amp;query=-7.692834,110.154951" TargetMode="External"/><Relationship Id="rId730" Type="http://schemas.openxmlformats.org/officeDocument/2006/relationships/hyperlink" Target="https://www.google.com/maps/search/?api=1&amp;query=-7.731791,110.188425" TargetMode="External"/><Relationship Id="rId772" Type="http://schemas.openxmlformats.org/officeDocument/2006/relationships/hyperlink" Target="https://www.google.com/maps/search/?api=1&amp;query=-7.893669,110.176319" TargetMode="External"/><Relationship Id="rId162" Type="http://schemas.openxmlformats.org/officeDocument/2006/relationships/hyperlink" Target="peta/baseline_18583.png" TargetMode="External"/><Relationship Id="rId218" Type="http://schemas.openxmlformats.org/officeDocument/2006/relationships/hyperlink" Target="https://www.google.com/maps/search/?api=1&amp;query=-7.872052,110.150730" TargetMode="External"/><Relationship Id="rId425" Type="http://schemas.openxmlformats.org/officeDocument/2006/relationships/hyperlink" Target="https://www.google.com/maps/search/?api=1&amp;query=-7.927862,110.128547" TargetMode="External"/><Relationship Id="rId467" Type="http://schemas.openxmlformats.org/officeDocument/2006/relationships/hyperlink" Target="https://www.google.com/maps/search/?api=1&amp;query=-7.823968,110.211718" TargetMode="External"/><Relationship Id="rId632" Type="http://schemas.openxmlformats.org/officeDocument/2006/relationships/hyperlink" Target="https://www.google.com/maps/search/?api=1&amp;query=-7.923944,110.210145" TargetMode="External"/><Relationship Id="rId271" Type="http://schemas.openxmlformats.org/officeDocument/2006/relationships/hyperlink" Target="https://www.google.com/maps/search/?api=1&amp;query=-7.860187,110.168222" TargetMode="External"/><Relationship Id="rId674" Type="http://schemas.openxmlformats.org/officeDocument/2006/relationships/hyperlink" Target="https://www.google.com/maps/search/?api=1&amp;query=-7.823968,110.211718" TargetMode="External"/><Relationship Id="rId24" Type="http://schemas.openxmlformats.org/officeDocument/2006/relationships/hyperlink" Target="peta/baseline_4484.png" TargetMode="External"/><Relationship Id="rId66" Type="http://schemas.openxmlformats.org/officeDocument/2006/relationships/hyperlink" Target="peta/baseline_8955.png" TargetMode="External"/><Relationship Id="rId131" Type="http://schemas.openxmlformats.org/officeDocument/2006/relationships/hyperlink" Target="https://www.google.com/maps/search/?api=1&amp;query=-7.648467,110.188632" TargetMode="External"/><Relationship Id="rId327" Type="http://schemas.openxmlformats.org/officeDocument/2006/relationships/hyperlink" Target="peta/rendah_16007.png" TargetMode="External"/><Relationship Id="rId369" Type="http://schemas.openxmlformats.org/officeDocument/2006/relationships/hyperlink" Target="peta/rendah_18237.png" TargetMode="External"/><Relationship Id="rId534" Type="http://schemas.openxmlformats.org/officeDocument/2006/relationships/hyperlink" Target="peta\sedang_10745.png" TargetMode="External"/><Relationship Id="rId576" Type="http://schemas.openxmlformats.org/officeDocument/2006/relationships/hyperlink" Target="peta/sedang_13946.png" TargetMode="External"/><Relationship Id="rId741" Type="http://schemas.openxmlformats.org/officeDocument/2006/relationships/hyperlink" Target="peta\tinggi_14598.png" TargetMode="External"/><Relationship Id="rId783" Type="http://schemas.openxmlformats.org/officeDocument/2006/relationships/hyperlink" Target="peta\tinggi_20385.png" TargetMode="External"/><Relationship Id="rId173" Type="http://schemas.openxmlformats.org/officeDocument/2006/relationships/hyperlink" Target="https://www.google.com/maps/search/?api=1&amp;query=-7.896118,110.054667" TargetMode="External"/><Relationship Id="rId229" Type="http://schemas.openxmlformats.org/officeDocument/2006/relationships/hyperlink" Target="https://www.google.com/maps/search/?api=1&amp;query=-7.822176,110.156507" TargetMode="External"/><Relationship Id="rId380" Type="http://schemas.openxmlformats.org/officeDocument/2006/relationships/hyperlink" Target="https://www.google.com/maps/search/?api=1&amp;query=-7.908012,110.129045" TargetMode="External"/><Relationship Id="rId436" Type="http://schemas.openxmlformats.org/officeDocument/2006/relationships/hyperlink" Target="https://www.google.com/maps/search/?api=1&amp;query=-7.825910,110.216360" TargetMode="External"/><Relationship Id="rId601" Type="http://schemas.openxmlformats.org/officeDocument/2006/relationships/hyperlink" Target="https://www.google.com/maps/search/?api=1&amp;query=-7.647678,110.190398" TargetMode="External"/><Relationship Id="rId643" Type="http://schemas.openxmlformats.org/officeDocument/2006/relationships/hyperlink" Target="https://www.google.com/maps/search/?api=1&amp;query=-7.913669,110.229803" TargetMode="External"/><Relationship Id="rId240" Type="http://schemas.openxmlformats.org/officeDocument/2006/relationships/hyperlink" Target="peta/rendah_6480.png" TargetMode="External"/><Relationship Id="rId478" Type="http://schemas.openxmlformats.org/officeDocument/2006/relationships/hyperlink" Target="https://www.google.com/maps/search/?api=1&amp;query=-7.821279,110.160137" TargetMode="External"/><Relationship Id="rId685" Type="http://schemas.openxmlformats.org/officeDocument/2006/relationships/hyperlink" Target="https://www.google.com/maps/search/?api=1&amp;query=-7.823079,110.155598" TargetMode="External"/><Relationship Id="rId35" Type="http://schemas.openxmlformats.org/officeDocument/2006/relationships/hyperlink" Target="https://www.google.com/maps/search/?api=1&amp;query=-7.858997,110.165148" TargetMode="External"/><Relationship Id="rId77" Type="http://schemas.openxmlformats.org/officeDocument/2006/relationships/hyperlink" Target="https://www.google.com/maps/search/?api=1&amp;query=-7.826649,110.161965" TargetMode="External"/><Relationship Id="rId100" Type="http://schemas.openxmlformats.org/officeDocument/2006/relationships/hyperlink" Target="https://www.google.com/maps/search/?api=1&amp;query=-7.896119,110.052040" TargetMode="External"/><Relationship Id="rId282" Type="http://schemas.openxmlformats.org/officeDocument/2006/relationships/hyperlink" Target="peta/rendah_10114.png" TargetMode="External"/><Relationship Id="rId338" Type="http://schemas.openxmlformats.org/officeDocument/2006/relationships/hyperlink" Target="https://www.google.com/maps/search/?api=1&amp;query=-7.728007,110.186293" TargetMode="External"/><Relationship Id="rId503" Type="http://schemas.openxmlformats.org/officeDocument/2006/relationships/hyperlink" Target="https://www.google.com/maps/search/?api=1&amp;query=-7.859256,110.061865" TargetMode="External"/><Relationship Id="rId545" Type="http://schemas.openxmlformats.org/officeDocument/2006/relationships/hyperlink" Target="https://www.google.com/maps/search/?api=1&amp;query=-7.824432,110.159622" TargetMode="External"/><Relationship Id="rId587" Type="http://schemas.openxmlformats.org/officeDocument/2006/relationships/hyperlink" Target="https://www.google.com/maps/search/?api=1&amp;query=-7.923944,110.210145" TargetMode="External"/><Relationship Id="rId710" Type="http://schemas.openxmlformats.org/officeDocument/2006/relationships/hyperlink" Target="https://www.google.com/maps/search/?api=1&amp;query=-7.812179,110.113256" TargetMode="External"/><Relationship Id="rId752" Type="http://schemas.openxmlformats.org/officeDocument/2006/relationships/hyperlink" Target="https://www.google.com/maps/search/?api=1&amp;query=-7.733637,110.186243" TargetMode="External"/><Relationship Id="rId8" Type="http://schemas.openxmlformats.org/officeDocument/2006/relationships/hyperlink" Target="https://www.google.com/maps/search/?api=1&amp;query=-7.893593,110.052037" TargetMode="External"/><Relationship Id="rId142" Type="http://schemas.openxmlformats.org/officeDocument/2006/relationships/hyperlink" Target="https://www.google.com/maps/search/?api=1&amp;query=-7.912763,110.228897" TargetMode="External"/><Relationship Id="rId184" Type="http://schemas.openxmlformats.org/officeDocument/2006/relationships/hyperlink" Target="https://www.google.com/maps/search/?api=1&amp;query=-7.913669,110.229803" TargetMode="External"/><Relationship Id="rId391" Type="http://schemas.openxmlformats.org/officeDocument/2006/relationships/hyperlink" Target="https://www.google.com/maps/search/?api=1&amp;query=-7.929746,110.126352" TargetMode="External"/><Relationship Id="rId405" Type="http://schemas.openxmlformats.org/officeDocument/2006/relationships/hyperlink" Target="peta/rendah_21020.png" TargetMode="External"/><Relationship Id="rId447" Type="http://schemas.openxmlformats.org/officeDocument/2006/relationships/hyperlink" Target="peta/sedang_2005.png" TargetMode="External"/><Relationship Id="rId612" Type="http://schemas.openxmlformats.org/officeDocument/2006/relationships/hyperlink" Target="peta\sedang_17432.png" TargetMode="External"/><Relationship Id="rId251" Type="http://schemas.openxmlformats.org/officeDocument/2006/relationships/hyperlink" Target="https://www.google.com/maps/search/?api=1&amp;query=-7.858997,110.165148" TargetMode="External"/><Relationship Id="rId489" Type="http://schemas.openxmlformats.org/officeDocument/2006/relationships/hyperlink" Target="peta/sedang_7834.png" TargetMode="External"/><Relationship Id="rId654" Type="http://schemas.openxmlformats.org/officeDocument/2006/relationships/hyperlink" Target="peta/sedang_22271.png" TargetMode="External"/><Relationship Id="rId696" Type="http://schemas.openxmlformats.org/officeDocument/2006/relationships/hyperlink" Target="peta/tinggi_9017.png" TargetMode="External"/><Relationship Id="rId46" Type="http://schemas.openxmlformats.org/officeDocument/2006/relationships/hyperlink" Target="https://www.google.com/maps/search/?api=1&amp;query=-7.766114,110.163874" TargetMode="External"/><Relationship Id="rId293" Type="http://schemas.openxmlformats.org/officeDocument/2006/relationships/hyperlink" Target="https://www.google.com/maps/search/?api=1&amp;query=-7.812179,110.113256" TargetMode="External"/><Relationship Id="rId307" Type="http://schemas.openxmlformats.org/officeDocument/2006/relationships/hyperlink" Target="https://www.google.com/maps/search/?api=1&amp;query=-7.896119,110.052040" TargetMode="External"/><Relationship Id="rId349" Type="http://schemas.openxmlformats.org/officeDocument/2006/relationships/hyperlink" Target="https://www.google.com/maps/search/?api=1&amp;query=-7.715479,110.172134" TargetMode="External"/><Relationship Id="rId514" Type="http://schemas.openxmlformats.org/officeDocument/2006/relationships/hyperlink" Target="https://www.google.com/maps/search/?api=1&amp;query=-7.859259,110.156432" TargetMode="External"/><Relationship Id="rId556" Type="http://schemas.openxmlformats.org/officeDocument/2006/relationships/hyperlink" Target="https://www.google.com/maps/search/?api=1&amp;query=-7.817681,110.170120" TargetMode="External"/><Relationship Id="rId721" Type="http://schemas.openxmlformats.org/officeDocument/2006/relationships/hyperlink" Target="https://www.google.com/maps/search/?api=1&amp;query=-7.692834,110.154951" TargetMode="External"/><Relationship Id="rId763" Type="http://schemas.openxmlformats.org/officeDocument/2006/relationships/hyperlink" Target="https://www.google.com/maps/search/?api=1&amp;query=-7.691095,110.191222" TargetMode="External"/><Relationship Id="rId88" Type="http://schemas.openxmlformats.org/officeDocument/2006/relationships/hyperlink" Target="https://www.google.com/maps/search/?api=1&amp;query=-7.789598,110.147503" TargetMode="External"/><Relationship Id="rId111" Type="http://schemas.openxmlformats.org/officeDocument/2006/relationships/hyperlink" Target="peta\baseline_14598.png" TargetMode="External"/><Relationship Id="rId153" Type="http://schemas.openxmlformats.org/officeDocument/2006/relationships/hyperlink" Target="peta/baseline_17845.png" TargetMode="External"/><Relationship Id="rId195" Type="http://schemas.openxmlformats.org/officeDocument/2006/relationships/hyperlink" Target="peta/baseline_21663.png" TargetMode="External"/><Relationship Id="rId209" Type="http://schemas.openxmlformats.org/officeDocument/2006/relationships/hyperlink" Target="https://www.google.com/maps/search/?api=1&amp;query=-7.880232,110.142826" TargetMode="External"/><Relationship Id="rId360" Type="http://schemas.openxmlformats.org/officeDocument/2006/relationships/hyperlink" Target="peta/rendah_17663.png" TargetMode="External"/><Relationship Id="rId416" Type="http://schemas.openxmlformats.org/officeDocument/2006/relationships/hyperlink" Target="https://www.google.com/maps/search/?api=1&amp;query=-7.927862,110.128547" TargetMode="External"/><Relationship Id="rId598" Type="http://schemas.openxmlformats.org/officeDocument/2006/relationships/hyperlink" Target="https://www.google.com/maps/search/?api=1&amp;query=-7.926295,110.209821" TargetMode="External"/><Relationship Id="rId220" Type="http://schemas.openxmlformats.org/officeDocument/2006/relationships/hyperlink" Target="https://www.google.com/maps/search/?api=1&amp;query=-7.826715,110.164661" TargetMode="External"/><Relationship Id="rId458" Type="http://schemas.openxmlformats.org/officeDocument/2006/relationships/hyperlink" Target="https://www.google.com/maps/search/?api=1&amp;query=-7.824968,110.154332" TargetMode="External"/><Relationship Id="rId623" Type="http://schemas.openxmlformats.org/officeDocument/2006/relationships/hyperlink" Target="https://www.google.com/maps/search/?api=1&amp;query=-7.910415,110.228884" TargetMode="External"/><Relationship Id="rId665" Type="http://schemas.openxmlformats.org/officeDocument/2006/relationships/hyperlink" Target="https://www.google.com/maps/search/?api=1&amp;query=-7.823968,110.211718" TargetMode="External"/><Relationship Id="rId15" Type="http://schemas.openxmlformats.org/officeDocument/2006/relationships/hyperlink" Target="peta/baseline_3043.png" TargetMode="External"/><Relationship Id="rId57" Type="http://schemas.openxmlformats.org/officeDocument/2006/relationships/hyperlink" Target="peta/baseline_8538.png" TargetMode="External"/><Relationship Id="rId262" Type="http://schemas.openxmlformats.org/officeDocument/2006/relationships/hyperlink" Target="https://www.google.com/maps/search/?api=1&amp;query=-7.880038,110.144598" TargetMode="External"/><Relationship Id="rId318" Type="http://schemas.openxmlformats.org/officeDocument/2006/relationships/hyperlink" Target="peta/rendah_14598.png" TargetMode="External"/><Relationship Id="rId525" Type="http://schemas.openxmlformats.org/officeDocument/2006/relationships/hyperlink" Target="peta\sedang_10530.png" TargetMode="External"/><Relationship Id="rId567" Type="http://schemas.openxmlformats.org/officeDocument/2006/relationships/hyperlink" Target="peta/sedang_13173.png" TargetMode="External"/><Relationship Id="rId732" Type="http://schemas.openxmlformats.org/officeDocument/2006/relationships/hyperlink" Target="peta/tinggi_13621.png" TargetMode="External"/><Relationship Id="rId99" Type="http://schemas.openxmlformats.org/officeDocument/2006/relationships/hyperlink" Target="peta/baseline_13946.png" TargetMode="External"/><Relationship Id="rId122" Type="http://schemas.openxmlformats.org/officeDocument/2006/relationships/hyperlink" Target="https://www.google.com/maps/search/?api=1&amp;query=-7.896118,110.054667" TargetMode="External"/><Relationship Id="rId164" Type="http://schemas.openxmlformats.org/officeDocument/2006/relationships/hyperlink" Target="https://www.google.com/maps/search/?api=1&amp;query=-7.908012,110.129045" TargetMode="External"/><Relationship Id="rId371" Type="http://schemas.openxmlformats.org/officeDocument/2006/relationships/hyperlink" Target="https://www.google.com/maps/search/?api=1&amp;query=-7.903177,110.072831" TargetMode="External"/><Relationship Id="rId774" Type="http://schemas.openxmlformats.org/officeDocument/2006/relationships/hyperlink" Target="peta\tinggi_17733.png" TargetMode="External"/><Relationship Id="rId427" Type="http://schemas.openxmlformats.org/officeDocument/2006/relationships/hyperlink" Target="https://www.google.com/maps/search/?api=1&amp;query=-7.896133,110.058390" TargetMode="External"/><Relationship Id="rId469" Type="http://schemas.openxmlformats.org/officeDocument/2006/relationships/hyperlink" Target="https://www.google.com/maps/search/?api=1&amp;query=-7.821281,110.161044" TargetMode="External"/><Relationship Id="rId634" Type="http://schemas.openxmlformats.org/officeDocument/2006/relationships/hyperlink" Target="https://www.google.com/maps/search/?api=1&amp;query=-7.946119,110.171679" TargetMode="External"/><Relationship Id="rId676" Type="http://schemas.openxmlformats.org/officeDocument/2006/relationships/hyperlink" Target="https://www.google.com/maps/search/?api=1&amp;query=-7.783270,110.149330" TargetMode="External"/><Relationship Id="rId26" Type="http://schemas.openxmlformats.org/officeDocument/2006/relationships/hyperlink" Target="https://www.google.com/maps/search/?api=1&amp;query=-7.824968,110.154332" TargetMode="External"/><Relationship Id="rId231" Type="http://schemas.openxmlformats.org/officeDocument/2006/relationships/hyperlink" Target="peta/rendah_4484.png" TargetMode="External"/><Relationship Id="rId273" Type="http://schemas.openxmlformats.org/officeDocument/2006/relationships/hyperlink" Target="peta/rendah_8955.png" TargetMode="External"/><Relationship Id="rId329" Type="http://schemas.openxmlformats.org/officeDocument/2006/relationships/hyperlink" Target="https://www.google.com/maps/search/?api=1&amp;query=-7.896118,110.054667" TargetMode="External"/><Relationship Id="rId480" Type="http://schemas.openxmlformats.org/officeDocument/2006/relationships/hyperlink" Target="peta/sedang_7129.png" TargetMode="External"/><Relationship Id="rId536" Type="http://schemas.openxmlformats.org/officeDocument/2006/relationships/hyperlink" Target="https://www.google.com/maps/search/?api=1&amp;query=-7.910415,110.228884" TargetMode="External"/><Relationship Id="rId701" Type="http://schemas.openxmlformats.org/officeDocument/2006/relationships/hyperlink" Target="https://www.google.com/maps/search/?api=1&amp;query=-7.819909,110.112674" TargetMode="External"/><Relationship Id="rId68" Type="http://schemas.openxmlformats.org/officeDocument/2006/relationships/hyperlink" Target="https://www.google.com/maps/search/?api=1&amp;query=-7.880232,110.142826" TargetMode="External"/><Relationship Id="rId133" Type="http://schemas.openxmlformats.org/officeDocument/2006/relationships/hyperlink" Target="https://www.google.com/maps/search/?api=1&amp;query=-7.900833,110.140927" TargetMode="External"/><Relationship Id="rId175" Type="http://schemas.openxmlformats.org/officeDocument/2006/relationships/hyperlink" Target="https://www.google.com/maps/search/?api=1&amp;query=-7.898834,110.052941" TargetMode="External"/><Relationship Id="rId340" Type="http://schemas.openxmlformats.org/officeDocument/2006/relationships/hyperlink" Target="https://www.google.com/maps/search/?api=1&amp;query=-7.647678,110.190398" TargetMode="External"/><Relationship Id="rId578" Type="http://schemas.openxmlformats.org/officeDocument/2006/relationships/hyperlink" Target="https://www.google.com/maps/search/?api=1&amp;query=-7.728007,110.186293" TargetMode="External"/><Relationship Id="rId743" Type="http://schemas.openxmlformats.org/officeDocument/2006/relationships/hyperlink" Target="https://www.google.com/maps/search/?api=1&amp;query=-7.768872,110.200163" TargetMode="External"/><Relationship Id="rId785" Type="http://schemas.openxmlformats.org/officeDocument/2006/relationships/hyperlink" Target="https://www.google.com/maps/search/?api=1&amp;query=-7.923944,110.210145" TargetMode="External"/><Relationship Id="rId200" Type="http://schemas.openxmlformats.org/officeDocument/2006/relationships/hyperlink" Target="https://www.google.com/maps/search/?api=1&amp;query=-7.895642,110.058012" TargetMode="External"/><Relationship Id="rId382" Type="http://schemas.openxmlformats.org/officeDocument/2006/relationships/hyperlink" Target="https://www.google.com/maps/search/?api=1&amp;query=-7.930650,110.126350" TargetMode="External"/><Relationship Id="rId438" Type="http://schemas.openxmlformats.org/officeDocument/2006/relationships/hyperlink" Target="peta/sedang_1213.png" TargetMode="External"/><Relationship Id="rId603" Type="http://schemas.openxmlformats.org/officeDocument/2006/relationships/hyperlink" Target="peta\sedang_16619.png" TargetMode="External"/><Relationship Id="rId645" Type="http://schemas.openxmlformats.org/officeDocument/2006/relationships/hyperlink" Target="peta/sedang_21384.png" TargetMode="External"/><Relationship Id="rId687" Type="http://schemas.openxmlformats.org/officeDocument/2006/relationships/hyperlink" Target="peta/tinggi_7393.png" TargetMode="External"/><Relationship Id="rId242" Type="http://schemas.openxmlformats.org/officeDocument/2006/relationships/hyperlink" Target="https://www.google.com/maps/search/?api=1&amp;query=-7.858997,110.165148" TargetMode="External"/><Relationship Id="rId284" Type="http://schemas.openxmlformats.org/officeDocument/2006/relationships/hyperlink" Target="https://www.google.com/maps/search/?api=1&amp;query=-7.826649,110.161965" TargetMode="External"/><Relationship Id="rId491" Type="http://schemas.openxmlformats.org/officeDocument/2006/relationships/hyperlink" Target="https://www.google.com/maps/search/?api=1&amp;query=-7.823968,110.211718" TargetMode="External"/><Relationship Id="rId505" Type="http://schemas.openxmlformats.org/officeDocument/2006/relationships/hyperlink" Target="https://www.google.com/maps/search/?api=1&amp;query=-7.822288,110.214553" TargetMode="External"/><Relationship Id="rId712" Type="http://schemas.openxmlformats.org/officeDocument/2006/relationships/hyperlink" Target="https://www.google.com/maps/search/?api=1&amp;query=-7.761649,110.193809" TargetMode="External"/><Relationship Id="rId37" Type="http://schemas.openxmlformats.org/officeDocument/2006/relationships/hyperlink" Target="https://www.google.com/maps/search/?api=1&amp;query=-7.870999,110.147338" TargetMode="External"/><Relationship Id="rId79" Type="http://schemas.openxmlformats.org/officeDocument/2006/relationships/hyperlink" Target="https://www.google.com/maps/search/?api=1&amp;query=-7.803174,110.152011" TargetMode="External"/><Relationship Id="rId102" Type="http://schemas.openxmlformats.org/officeDocument/2006/relationships/hyperlink" Target="peta/baseline_13989.png" TargetMode="External"/><Relationship Id="rId144" Type="http://schemas.openxmlformats.org/officeDocument/2006/relationships/hyperlink" Target="peta/baseline_17432.png" TargetMode="External"/><Relationship Id="rId547" Type="http://schemas.openxmlformats.org/officeDocument/2006/relationships/hyperlink" Target="https://www.google.com/maps/search/?api=1&amp;query=-7.826819,110.219079" TargetMode="External"/><Relationship Id="rId589" Type="http://schemas.openxmlformats.org/officeDocument/2006/relationships/hyperlink" Target="https://www.google.com/maps/search/?api=1&amp;query=-7.927201,110.210727" TargetMode="External"/><Relationship Id="rId754" Type="http://schemas.openxmlformats.org/officeDocument/2006/relationships/hyperlink" Target="https://www.google.com/maps/search/?api=1&amp;query=-7.729979,110.186615" TargetMode="External"/><Relationship Id="rId90" Type="http://schemas.openxmlformats.org/officeDocument/2006/relationships/hyperlink" Target="peta/baseline_12710.png" TargetMode="External"/><Relationship Id="rId186" Type="http://schemas.openxmlformats.org/officeDocument/2006/relationships/hyperlink" Target="peta/baseline_21384.png" TargetMode="External"/><Relationship Id="rId351" Type="http://schemas.openxmlformats.org/officeDocument/2006/relationships/hyperlink" Target="peta/rendah_17409.png" TargetMode="External"/><Relationship Id="rId393" Type="http://schemas.openxmlformats.org/officeDocument/2006/relationships/hyperlink" Target="peta/rendah_19787.png" TargetMode="External"/><Relationship Id="rId407" Type="http://schemas.openxmlformats.org/officeDocument/2006/relationships/hyperlink" Target="https://www.google.com/maps/search/?api=1&amp;query=-7.910415,110.228884" TargetMode="External"/><Relationship Id="rId449" Type="http://schemas.openxmlformats.org/officeDocument/2006/relationships/hyperlink" Target="https://www.google.com/maps/search/?api=1&amp;query=-7.814606,110.171039" TargetMode="External"/><Relationship Id="rId614" Type="http://schemas.openxmlformats.org/officeDocument/2006/relationships/hyperlink" Target="https://www.google.com/maps/search/?api=1&amp;query=-7.944964,110.170059" TargetMode="External"/><Relationship Id="rId656" Type="http://schemas.openxmlformats.org/officeDocument/2006/relationships/hyperlink" Target="https://www.google.com/maps/search/?api=1&amp;query=-7.917724,110.229121" TargetMode="External"/><Relationship Id="rId211" Type="http://schemas.openxmlformats.org/officeDocument/2006/relationships/hyperlink" Target="https://www.google.com/maps/search/?api=1&amp;query=-7.896115,110.050226" TargetMode="External"/><Relationship Id="rId253" Type="http://schemas.openxmlformats.org/officeDocument/2006/relationships/hyperlink" Target="https://www.google.com/maps/search/?api=1&amp;query=-7.766114,110.163874" TargetMode="External"/><Relationship Id="rId295" Type="http://schemas.openxmlformats.org/officeDocument/2006/relationships/hyperlink" Target="https://www.google.com/maps/search/?api=1&amp;query=-7.789598,110.147503" TargetMode="External"/><Relationship Id="rId309" Type="http://schemas.openxmlformats.org/officeDocument/2006/relationships/hyperlink" Target="peta/rendah_13989.png" TargetMode="External"/><Relationship Id="rId460" Type="http://schemas.openxmlformats.org/officeDocument/2006/relationships/hyperlink" Target="https://www.google.com/maps/search/?api=1&amp;query=-7.856344,110.061201" TargetMode="External"/><Relationship Id="rId516" Type="http://schemas.openxmlformats.org/officeDocument/2006/relationships/hyperlink" Target="peta\sedang_10107.png" TargetMode="External"/><Relationship Id="rId698" Type="http://schemas.openxmlformats.org/officeDocument/2006/relationships/hyperlink" Target="https://www.google.com/maps/search/?api=1&amp;query=-7.823968,110.211718" TargetMode="External"/><Relationship Id="rId48" Type="http://schemas.openxmlformats.org/officeDocument/2006/relationships/hyperlink" Target="peta/baseline_7834.png" TargetMode="External"/><Relationship Id="rId113" Type="http://schemas.openxmlformats.org/officeDocument/2006/relationships/hyperlink" Target="https://www.google.com/maps/search/?api=1&amp;query=-7.896118,110.054667" TargetMode="External"/><Relationship Id="rId320" Type="http://schemas.openxmlformats.org/officeDocument/2006/relationships/hyperlink" Target="https://www.google.com/maps/search/?api=1&amp;query=-7.896118,110.054667" TargetMode="External"/><Relationship Id="rId558" Type="http://schemas.openxmlformats.org/officeDocument/2006/relationships/hyperlink" Target="peta\sedang_13026.png" TargetMode="External"/><Relationship Id="rId723" Type="http://schemas.openxmlformats.org/officeDocument/2006/relationships/hyperlink" Target="peta/tinggi_13173.png" TargetMode="External"/><Relationship Id="rId765" Type="http://schemas.openxmlformats.org/officeDocument/2006/relationships/hyperlink" Target="peta\tinggi_17118.png" TargetMode="External"/><Relationship Id="rId155" Type="http://schemas.openxmlformats.org/officeDocument/2006/relationships/hyperlink" Target="https://www.google.com/maps/search/?api=1&amp;query=-7.893593,110.052037" TargetMode="External"/><Relationship Id="rId197" Type="http://schemas.openxmlformats.org/officeDocument/2006/relationships/hyperlink" Target="https://www.google.com/maps/search/?api=1&amp;query=-7.893593,110.052037" TargetMode="External"/><Relationship Id="rId362" Type="http://schemas.openxmlformats.org/officeDocument/2006/relationships/hyperlink" Target="https://www.google.com/maps/search/?api=1&amp;query=-7.895045,110.055478" TargetMode="External"/><Relationship Id="rId418" Type="http://schemas.openxmlformats.org/officeDocument/2006/relationships/hyperlink" Target="https://www.google.com/maps/search/?api=1&amp;query=-7.909744,110.078316" TargetMode="External"/><Relationship Id="rId625" Type="http://schemas.openxmlformats.org/officeDocument/2006/relationships/hyperlink" Target="https://www.google.com/maps/search/?api=1&amp;query=-7.916384,110.230705" TargetMode="External"/><Relationship Id="rId222" Type="http://schemas.openxmlformats.org/officeDocument/2006/relationships/hyperlink" Target="peta/rendah_3083.png" TargetMode="External"/><Relationship Id="rId264" Type="http://schemas.openxmlformats.org/officeDocument/2006/relationships/hyperlink" Target="peta/rendah_8538.png" TargetMode="External"/><Relationship Id="rId471" Type="http://schemas.openxmlformats.org/officeDocument/2006/relationships/hyperlink" Target="peta/sedang_5970.png" TargetMode="External"/><Relationship Id="rId667" Type="http://schemas.openxmlformats.org/officeDocument/2006/relationships/hyperlink" Target="https://www.google.com/maps/search/?api=1&amp;query=-7.822176,110.156507" TargetMode="External"/><Relationship Id="rId17" Type="http://schemas.openxmlformats.org/officeDocument/2006/relationships/hyperlink" Target="https://www.google.com/maps/search/?api=1&amp;query=-7.826649,110.161965" TargetMode="External"/><Relationship Id="rId59" Type="http://schemas.openxmlformats.org/officeDocument/2006/relationships/hyperlink" Target="https://www.google.com/maps/search/?api=1&amp;query=-7.757942,110.186248" TargetMode="External"/><Relationship Id="rId124" Type="http://schemas.openxmlformats.org/officeDocument/2006/relationships/hyperlink" Target="https://www.google.com/maps/search/?api=1&amp;query=-7.731790,110.187518" TargetMode="External"/><Relationship Id="rId527" Type="http://schemas.openxmlformats.org/officeDocument/2006/relationships/hyperlink" Target="https://www.google.com/maps/search/?api=1&amp;query=-7.805423,110.150704" TargetMode="External"/><Relationship Id="rId569" Type="http://schemas.openxmlformats.org/officeDocument/2006/relationships/hyperlink" Target="https://www.google.com/maps/search/?api=1&amp;query=-7.944964,110.170059" TargetMode="External"/><Relationship Id="rId734" Type="http://schemas.openxmlformats.org/officeDocument/2006/relationships/hyperlink" Target="https://www.google.com/maps/search/?api=1&amp;query=-7.705537,110.251013" TargetMode="External"/><Relationship Id="rId776" Type="http://schemas.openxmlformats.org/officeDocument/2006/relationships/hyperlink" Target="https://www.google.com/maps/search/?api=1&amp;query=-7.891881,110.178626" TargetMode="External"/><Relationship Id="rId70" Type="http://schemas.openxmlformats.org/officeDocument/2006/relationships/hyperlink" Target="https://www.google.com/maps/search/?api=1&amp;query=-7.821181,110.112068" TargetMode="External"/><Relationship Id="rId166" Type="http://schemas.openxmlformats.org/officeDocument/2006/relationships/hyperlink" Target="https://www.google.com/maps/search/?api=1&amp;query=-7.906111,110.071067" TargetMode="External"/><Relationship Id="rId331" Type="http://schemas.openxmlformats.org/officeDocument/2006/relationships/hyperlink" Target="https://www.google.com/maps/search/?api=1&amp;query=-7.731790,110.187518" TargetMode="External"/><Relationship Id="rId373" Type="http://schemas.openxmlformats.org/officeDocument/2006/relationships/hyperlink" Target="https://www.google.com/maps/search/?api=1&amp;query=-7.929748,110.127259" TargetMode="External"/><Relationship Id="rId429" Type="http://schemas.openxmlformats.org/officeDocument/2006/relationships/hyperlink" Target="peta/rendah_22148.png" TargetMode="External"/><Relationship Id="rId580" Type="http://schemas.openxmlformats.org/officeDocument/2006/relationships/hyperlink" Target="https://www.google.com/maps/search/?api=1&amp;query=-7.922673,110.208014" TargetMode="External"/><Relationship Id="rId636" Type="http://schemas.openxmlformats.org/officeDocument/2006/relationships/hyperlink" Target="peta/sedang_20403.png" TargetMode="External"/><Relationship Id="rId1" Type="http://schemas.openxmlformats.org/officeDocument/2006/relationships/hyperlink" Target="https://www.google.com/maps/search/?api=1&amp;query=-7.883654,110.143684" TargetMode="External"/><Relationship Id="rId233" Type="http://schemas.openxmlformats.org/officeDocument/2006/relationships/hyperlink" Target="https://www.google.com/maps/search/?api=1&amp;query=-7.824968,110.154332" TargetMode="External"/><Relationship Id="rId440" Type="http://schemas.openxmlformats.org/officeDocument/2006/relationships/hyperlink" Target="https://www.google.com/maps/search/?api=1&amp;query=-7.823968,110.211718" TargetMode="External"/><Relationship Id="rId678" Type="http://schemas.openxmlformats.org/officeDocument/2006/relationships/hyperlink" Target="peta\tinggi_6380.png" TargetMode="External"/><Relationship Id="rId28" Type="http://schemas.openxmlformats.org/officeDocument/2006/relationships/hyperlink" Target="https://www.google.com/maps/search/?api=1&amp;query=-7.871905,110.148243" TargetMode="External"/><Relationship Id="rId275" Type="http://schemas.openxmlformats.org/officeDocument/2006/relationships/hyperlink" Target="https://www.google.com/maps/search/?api=1&amp;query=-7.880232,110.142826" TargetMode="External"/><Relationship Id="rId300" Type="http://schemas.openxmlformats.org/officeDocument/2006/relationships/hyperlink" Target="peta/rendah_13173.png" TargetMode="External"/><Relationship Id="rId482" Type="http://schemas.openxmlformats.org/officeDocument/2006/relationships/hyperlink" Target="https://www.google.com/maps/search/?api=1&amp;query=-7.824968,110.154332" TargetMode="External"/><Relationship Id="rId538" Type="http://schemas.openxmlformats.org/officeDocument/2006/relationships/hyperlink" Target="https://www.google.com/maps/search/?api=1&amp;query=-7.815879,110.173752" TargetMode="External"/><Relationship Id="rId703" Type="http://schemas.openxmlformats.org/officeDocument/2006/relationships/hyperlink" Target="https://www.google.com/maps/search/?api=1&amp;query=-7.803174,110.152011" TargetMode="External"/><Relationship Id="rId745" Type="http://schemas.openxmlformats.org/officeDocument/2006/relationships/hyperlink" Target="https://www.google.com/maps/search/?api=1&amp;query=-7.922673,110.208014" TargetMode="External"/><Relationship Id="rId81" Type="http://schemas.openxmlformats.org/officeDocument/2006/relationships/hyperlink" Target="peta/baseline_10545.png" TargetMode="External"/><Relationship Id="rId135" Type="http://schemas.openxmlformats.org/officeDocument/2006/relationships/hyperlink" Target="peta/baseline_17227.png" TargetMode="External"/><Relationship Id="rId177" Type="http://schemas.openxmlformats.org/officeDocument/2006/relationships/hyperlink" Target="peta/baseline_20950.png" TargetMode="External"/><Relationship Id="rId342" Type="http://schemas.openxmlformats.org/officeDocument/2006/relationships/hyperlink" Target="peta/rendah_16619.png" TargetMode="External"/><Relationship Id="rId384" Type="http://schemas.openxmlformats.org/officeDocument/2006/relationships/hyperlink" Target="peta/rendah_19256.png" TargetMode="External"/><Relationship Id="rId591" Type="http://schemas.openxmlformats.org/officeDocument/2006/relationships/hyperlink" Target="peta\sedang_16015.png" TargetMode="External"/><Relationship Id="rId605" Type="http://schemas.openxmlformats.org/officeDocument/2006/relationships/hyperlink" Target="https://www.google.com/maps/search/?api=1&amp;query=-7.923944,110.210145" TargetMode="External"/><Relationship Id="rId787" Type="http://schemas.openxmlformats.org/officeDocument/2006/relationships/hyperlink" Target="https://www.google.com/maps/search/?api=1&amp;query=-7.923578,110.208012" TargetMode="External"/><Relationship Id="rId202" Type="http://schemas.openxmlformats.org/officeDocument/2006/relationships/hyperlink" Target="https://www.google.com/maps/search/?api=1&amp;query=-7.905208,110.071976" TargetMode="External"/><Relationship Id="rId244" Type="http://schemas.openxmlformats.org/officeDocument/2006/relationships/hyperlink" Target="https://www.google.com/maps/search/?api=1&amp;query=-7.870999,110.147338" TargetMode="External"/><Relationship Id="rId647" Type="http://schemas.openxmlformats.org/officeDocument/2006/relationships/hyperlink" Target="https://www.google.com/maps/search/?api=1&amp;query=-7.944964,110.170059" TargetMode="External"/><Relationship Id="rId689" Type="http://schemas.openxmlformats.org/officeDocument/2006/relationships/hyperlink" Target="https://www.google.com/maps/search/?api=1&amp;query=-7.764415,110.166323" TargetMode="External"/><Relationship Id="rId39" Type="http://schemas.openxmlformats.org/officeDocument/2006/relationships/hyperlink" Target="peta/baseline_7232.png" TargetMode="External"/><Relationship Id="rId286" Type="http://schemas.openxmlformats.org/officeDocument/2006/relationships/hyperlink" Target="https://www.google.com/maps/search/?api=1&amp;query=-7.803174,110.152011" TargetMode="External"/><Relationship Id="rId451" Type="http://schemas.openxmlformats.org/officeDocument/2006/relationships/hyperlink" Target="https://www.google.com/maps/search/?api=1&amp;query=-7.864761,110.194518" TargetMode="External"/><Relationship Id="rId493" Type="http://schemas.openxmlformats.org/officeDocument/2006/relationships/hyperlink" Target="https://www.google.com/maps/search/?api=1&amp;query=-7.825908,110.215453" TargetMode="External"/><Relationship Id="rId507" Type="http://schemas.openxmlformats.org/officeDocument/2006/relationships/hyperlink" Target="peta/sedang_9358.png" TargetMode="External"/><Relationship Id="rId549" Type="http://schemas.openxmlformats.org/officeDocument/2006/relationships/hyperlink" Target="peta\sedang_12021.png" TargetMode="External"/><Relationship Id="rId714" Type="http://schemas.openxmlformats.org/officeDocument/2006/relationships/hyperlink" Target="peta/tinggi_11859.png" TargetMode="External"/><Relationship Id="rId756" Type="http://schemas.openxmlformats.org/officeDocument/2006/relationships/hyperlink" Target="peta\tinggi_16438.png" TargetMode="External"/><Relationship Id="rId50" Type="http://schemas.openxmlformats.org/officeDocument/2006/relationships/hyperlink" Target="https://www.google.com/maps/search/?api=1&amp;query=-7.872052,110.150730" TargetMode="External"/><Relationship Id="rId104" Type="http://schemas.openxmlformats.org/officeDocument/2006/relationships/hyperlink" Target="https://www.google.com/maps/search/?api=1&amp;query=-7.896118,110.054667" TargetMode="External"/><Relationship Id="rId146" Type="http://schemas.openxmlformats.org/officeDocument/2006/relationships/hyperlink" Target="https://www.google.com/maps/search/?api=1&amp;query=-7.903177,110.072831" TargetMode="External"/><Relationship Id="rId188" Type="http://schemas.openxmlformats.org/officeDocument/2006/relationships/hyperlink" Target="https://www.google.com/maps/search/?api=1&amp;query=-7.896118,110.054667" TargetMode="External"/><Relationship Id="rId311" Type="http://schemas.openxmlformats.org/officeDocument/2006/relationships/hyperlink" Target="https://www.google.com/maps/search/?api=1&amp;query=-7.896118,110.054667" TargetMode="External"/><Relationship Id="rId353" Type="http://schemas.openxmlformats.org/officeDocument/2006/relationships/hyperlink" Target="https://www.google.com/maps/search/?api=1&amp;query=-7.910415,110.228884" TargetMode="External"/><Relationship Id="rId395" Type="http://schemas.openxmlformats.org/officeDocument/2006/relationships/hyperlink" Target="https://www.google.com/maps/search/?api=1&amp;query=-7.896118,110.054667" TargetMode="External"/><Relationship Id="rId409" Type="http://schemas.openxmlformats.org/officeDocument/2006/relationships/hyperlink" Target="https://www.google.com/maps/search/?api=1&amp;query=-7.897025,110.052945" TargetMode="External"/><Relationship Id="rId560" Type="http://schemas.openxmlformats.org/officeDocument/2006/relationships/hyperlink" Target="https://www.google.com/maps/search/?api=1&amp;query=-7.944964,110.170059" TargetMode="External"/><Relationship Id="rId92" Type="http://schemas.openxmlformats.org/officeDocument/2006/relationships/hyperlink" Target="https://www.google.com/maps/search/?api=1&amp;query=-7.691147,110.154083" TargetMode="External"/><Relationship Id="rId213" Type="http://schemas.openxmlformats.org/officeDocument/2006/relationships/hyperlink" Target="peta/rendah_1152.png" TargetMode="External"/><Relationship Id="rId420" Type="http://schemas.openxmlformats.org/officeDocument/2006/relationships/hyperlink" Target="peta/rendah_21663.png" TargetMode="External"/><Relationship Id="rId616" Type="http://schemas.openxmlformats.org/officeDocument/2006/relationships/hyperlink" Target="https://www.google.com/maps/search/?api=1&amp;query=-7.692832,110.154045" TargetMode="External"/><Relationship Id="rId658" Type="http://schemas.openxmlformats.org/officeDocument/2006/relationships/hyperlink" Target="https://www.google.com/maps/search/?api=1&amp;query=-7.925390,110.209823" TargetMode="External"/><Relationship Id="rId255" Type="http://schemas.openxmlformats.org/officeDocument/2006/relationships/hyperlink" Target="peta/rendah_7834.png" TargetMode="External"/><Relationship Id="rId297" Type="http://schemas.openxmlformats.org/officeDocument/2006/relationships/hyperlink" Target="peta/rendah_12710.png" TargetMode="External"/><Relationship Id="rId462" Type="http://schemas.openxmlformats.org/officeDocument/2006/relationships/hyperlink" Target="peta/sedang_5108.png" TargetMode="External"/><Relationship Id="rId518" Type="http://schemas.openxmlformats.org/officeDocument/2006/relationships/hyperlink" Target="https://www.google.com/maps/search/?api=1&amp;query=-7.824432,110.159622" TargetMode="External"/><Relationship Id="rId725" Type="http://schemas.openxmlformats.org/officeDocument/2006/relationships/hyperlink" Target="https://www.google.com/maps/search/?api=1&amp;query=-7.693762,110.192578" TargetMode="External"/><Relationship Id="rId115" Type="http://schemas.openxmlformats.org/officeDocument/2006/relationships/hyperlink" Target="https://www.google.com/maps/search/?api=1&amp;query=-7.896131,110.057482" TargetMode="External"/><Relationship Id="rId157" Type="http://schemas.openxmlformats.org/officeDocument/2006/relationships/hyperlink" Target="https://www.google.com/maps/search/?api=1&amp;query=-7.906113,110.071974" TargetMode="External"/><Relationship Id="rId322" Type="http://schemas.openxmlformats.org/officeDocument/2006/relationships/hyperlink" Target="https://www.google.com/maps/search/?api=1&amp;query=-7.896131,110.057482" TargetMode="External"/><Relationship Id="rId364" Type="http://schemas.openxmlformats.org/officeDocument/2006/relationships/hyperlink" Target="https://www.google.com/maps/search/?api=1&amp;query=-7.930654,110.128164" TargetMode="External"/><Relationship Id="rId767" Type="http://schemas.openxmlformats.org/officeDocument/2006/relationships/hyperlink" Target="https://www.google.com/maps/search/?api=1&amp;query=-7.717685,110.171439" TargetMode="External"/><Relationship Id="rId61" Type="http://schemas.openxmlformats.org/officeDocument/2006/relationships/hyperlink" Target="https://www.google.com/maps/search/?api=1&amp;query=-7.880943,110.144596" TargetMode="External"/><Relationship Id="rId199" Type="http://schemas.openxmlformats.org/officeDocument/2006/relationships/hyperlink" Target="https://www.google.com/maps/search/?api=1&amp;query=-7.896133,110.058390" TargetMode="External"/><Relationship Id="rId571" Type="http://schemas.openxmlformats.org/officeDocument/2006/relationships/hyperlink" Target="https://www.google.com/maps/search/?api=1&amp;query=-7.731791,110.188425" TargetMode="External"/><Relationship Id="rId627" Type="http://schemas.openxmlformats.org/officeDocument/2006/relationships/hyperlink" Target="peta/sedang_19767.png" TargetMode="External"/><Relationship Id="rId669" Type="http://schemas.openxmlformats.org/officeDocument/2006/relationships/hyperlink" Target="peta/tinggi_4484.png" TargetMode="External"/><Relationship Id="rId19" Type="http://schemas.openxmlformats.org/officeDocument/2006/relationships/hyperlink" Target="https://www.google.com/maps/search/?api=1&amp;query=-7.859285,110.169131" TargetMode="External"/><Relationship Id="rId224" Type="http://schemas.openxmlformats.org/officeDocument/2006/relationships/hyperlink" Target="https://www.google.com/maps/search/?api=1&amp;query=-7.927862,110.128547" TargetMode="External"/><Relationship Id="rId266" Type="http://schemas.openxmlformats.org/officeDocument/2006/relationships/hyperlink" Target="https://www.google.com/maps/search/?api=1&amp;query=-7.757942,110.186248" TargetMode="External"/><Relationship Id="rId431" Type="http://schemas.openxmlformats.org/officeDocument/2006/relationships/hyperlink" Target="https://www.google.com/maps/search/?api=1&amp;query=-7.903177,110.072831" TargetMode="External"/><Relationship Id="rId473" Type="http://schemas.openxmlformats.org/officeDocument/2006/relationships/hyperlink" Target="https://www.google.com/maps/search/?api=1&amp;query=-7.823968,110.211718" TargetMode="External"/><Relationship Id="rId529" Type="http://schemas.openxmlformats.org/officeDocument/2006/relationships/hyperlink" Target="https://www.google.com/maps/search/?api=1&amp;query=-7.857565,110.215394" TargetMode="External"/><Relationship Id="rId680" Type="http://schemas.openxmlformats.org/officeDocument/2006/relationships/hyperlink" Target="https://www.google.com/maps/search/?api=1&amp;query=-7.823968,110.211718" TargetMode="External"/><Relationship Id="rId736" Type="http://schemas.openxmlformats.org/officeDocument/2006/relationships/hyperlink" Target="https://www.google.com/maps/search/?api=1&amp;query=-7.755283,110.175684" TargetMode="External"/><Relationship Id="rId30" Type="http://schemas.openxmlformats.org/officeDocument/2006/relationships/hyperlink" Target="peta/baseline_6084.png" TargetMode="External"/><Relationship Id="rId126" Type="http://schemas.openxmlformats.org/officeDocument/2006/relationships/hyperlink" Target="peta/baseline_16216.png" TargetMode="External"/><Relationship Id="rId168" Type="http://schemas.openxmlformats.org/officeDocument/2006/relationships/hyperlink" Target="peta/baseline_19702.png" TargetMode="External"/><Relationship Id="rId333" Type="http://schemas.openxmlformats.org/officeDocument/2006/relationships/hyperlink" Target="peta/rendah_16216.png" TargetMode="External"/><Relationship Id="rId540" Type="http://schemas.openxmlformats.org/officeDocument/2006/relationships/hyperlink" Target="peta\sedang_11668.png" TargetMode="External"/><Relationship Id="rId778" Type="http://schemas.openxmlformats.org/officeDocument/2006/relationships/hyperlink" Target="https://www.google.com/maps/search/?api=1&amp;query=-7.924484,110.208917" TargetMode="External"/><Relationship Id="rId72" Type="http://schemas.openxmlformats.org/officeDocument/2006/relationships/hyperlink" Target="peta/baseline_9702.png" TargetMode="External"/><Relationship Id="rId375" Type="http://schemas.openxmlformats.org/officeDocument/2006/relationships/hyperlink" Target="peta/rendah_18497.png" TargetMode="External"/><Relationship Id="rId582" Type="http://schemas.openxmlformats.org/officeDocument/2006/relationships/hyperlink" Target="peta\sedang_15271.png" TargetMode="External"/><Relationship Id="rId638" Type="http://schemas.openxmlformats.org/officeDocument/2006/relationships/hyperlink" Target="https://www.google.com/maps/search/?api=1&amp;query=-7.923944,110.210145" TargetMode="External"/><Relationship Id="rId3" Type="http://schemas.openxmlformats.org/officeDocument/2006/relationships/hyperlink" Target="peta/baseline_256.png" TargetMode="External"/><Relationship Id="rId235" Type="http://schemas.openxmlformats.org/officeDocument/2006/relationships/hyperlink" Target="https://www.google.com/maps/search/?api=1&amp;query=-7.871905,110.148243" TargetMode="External"/><Relationship Id="rId277" Type="http://schemas.openxmlformats.org/officeDocument/2006/relationships/hyperlink" Target="https://www.google.com/maps/search/?api=1&amp;query=-7.821181,110.112068" TargetMode="External"/><Relationship Id="rId400" Type="http://schemas.openxmlformats.org/officeDocument/2006/relationships/hyperlink" Target="https://www.google.com/maps/search/?api=1&amp;query=-7.908834,110.075596" TargetMode="External"/><Relationship Id="rId442" Type="http://schemas.openxmlformats.org/officeDocument/2006/relationships/hyperlink" Target="https://www.google.com/maps/search/?api=1&amp;query=-7.816778,110.171029" TargetMode="External"/><Relationship Id="rId484" Type="http://schemas.openxmlformats.org/officeDocument/2006/relationships/hyperlink" Target="https://www.google.com/maps/search/?api=1&amp;query=-7.816777,110.170122" TargetMode="External"/><Relationship Id="rId705" Type="http://schemas.openxmlformats.org/officeDocument/2006/relationships/hyperlink" Target="peta/tinggi_10545.png" TargetMode="External"/><Relationship Id="rId137" Type="http://schemas.openxmlformats.org/officeDocument/2006/relationships/hyperlink" Target="https://www.google.com/maps/search/?api=1&amp;query=-7.903177,110.072831" TargetMode="External"/><Relationship Id="rId302" Type="http://schemas.openxmlformats.org/officeDocument/2006/relationships/hyperlink" Target="https://www.google.com/maps/search/?api=1&amp;query=-7.733637,110.186243" TargetMode="External"/><Relationship Id="rId344" Type="http://schemas.openxmlformats.org/officeDocument/2006/relationships/hyperlink" Target="https://www.google.com/maps/search/?api=1&amp;query=-7.901090,110.144181" TargetMode="External"/><Relationship Id="rId691" Type="http://schemas.openxmlformats.org/officeDocument/2006/relationships/hyperlink" Target="https://www.google.com/maps/search/?api=1&amp;query=-7.821382,110.213648" TargetMode="External"/><Relationship Id="rId747" Type="http://schemas.openxmlformats.org/officeDocument/2006/relationships/hyperlink" Target="peta/tinggi_15271.png" TargetMode="External"/><Relationship Id="rId789" Type="http://schemas.openxmlformats.org/officeDocument/2006/relationships/hyperlink" Target="peta/tinggi_22130.png" TargetMode="External"/><Relationship Id="rId41" Type="http://schemas.openxmlformats.org/officeDocument/2006/relationships/hyperlink" Target="https://www.google.com/maps/search/?api=1&amp;query=-7.824968,110.154332" TargetMode="External"/><Relationship Id="rId83" Type="http://schemas.openxmlformats.org/officeDocument/2006/relationships/hyperlink" Target="https://www.google.com/maps/search/?api=1&amp;query=-7.910415,110.228884" TargetMode="External"/><Relationship Id="rId179" Type="http://schemas.openxmlformats.org/officeDocument/2006/relationships/hyperlink" Target="https://www.google.com/maps/search/?api=1&amp;query=-7.907210,110.077453" TargetMode="External"/><Relationship Id="rId386" Type="http://schemas.openxmlformats.org/officeDocument/2006/relationships/hyperlink" Target="https://www.google.com/maps/search/?api=1&amp;query=-7.903177,110.072831" TargetMode="External"/><Relationship Id="rId551" Type="http://schemas.openxmlformats.org/officeDocument/2006/relationships/hyperlink" Target="https://www.google.com/maps/search/?api=1&amp;query=-7.814606,110.171039" TargetMode="External"/><Relationship Id="rId593" Type="http://schemas.openxmlformats.org/officeDocument/2006/relationships/hyperlink" Target="https://www.google.com/maps/search/?api=1&amp;query=-7.733637,110.186243" TargetMode="External"/><Relationship Id="rId607" Type="http://schemas.openxmlformats.org/officeDocument/2006/relationships/hyperlink" Target="https://www.google.com/maps/search/?api=1&amp;query=-7.715479,110.172134" TargetMode="External"/><Relationship Id="rId649" Type="http://schemas.openxmlformats.org/officeDocument/2006/relationships/hyperlink" Target="https://www.google.com/maps/search/?api=1&amp;query=-7.923578,110.208012" TargetMode="External"/><Relationship Id="rId190" Type="http://schemas.openxmlformats.org/officeDocument/2006/relationships/hyperlink" Target="https://www.google.com/maps/search/?api=1&amp;query=-7.895212,110.051135" TargetMode="External"/><Relationship Id="rId204" Type="http://schemas.openxmlformats.org/officeDocument/2006/relationships/hyperlink" Target="peta/baseline_22663.png" TargetMode="External"/><Relationship Id="rId246" Type="http://schemas.openxmlformats.org/officeDocument/2006/relationships/hyperlink" Target="peta/rendah_7232.png" TargetMode="External"/><Relationship Id="rId288" Type="http://schemas.openxmlformats.org/officeDocument/2006/relationships/hyperlink" Target="peta/rendah_10545.png" TargetMode="External"/><Relationship Id="rId411" Type="http://schemas.openxmlformats.org/officeDocument/2006/relationships/hyperlink" Target="peta/rendah_21421.png" TargetMode="External"/><Relationship Id="rId453" Type="http://schemas.openxmlformats.org/officeDocument/2006/relationships/hyperlink" Target="peta/sedang_4108.png" TargetMode="External"/><Relationship Id="rId509" Type="http://schemas.openxmlformats.org/officeDocument/2006/relationships/hyperlink" Target="https://www.google.com/maps/search/?api=1&amp;query=-7.819909,110.112674" TargetMode="External"/><Relationship Id="rId660" Type="http://schemas.openxmlformats.org/officeDocument/2006/relationships/hyperlink" Target="peta/sedang_22666.png" TargetMode="External"/><Relationship Id="rId106" Type="http://schemas.openxmlformats.org/officeDocument/2006/relationships/hyperlink" Target="https://www.google.com/maps/search/?api=1&amp;query=-7.896121,110.052947" TargetMode="External"/><Relationship Id="rId313" Type="http://schemas.openxmlformats.org/officeDocument/2006/relationships/hyperlink" Target="https://www.google.com/maps/search/?api=1&amp;query=-7.896121,110.052947" TargetMode="External"/><Relationship Id="rId495" Type="http://schemas.openxmlformats.org/officeDocument/2006/relationships/hyperlink" Target="peta/sedang_8666.png" TargetMode="External"/><Relationship Id="rId716" Type="http://schemas.openxmlformats.org/officeDocument/2006/relationships/hyperlink" Target="https://www.google.com/maps/search/?api=1&amp;query=-7.786417,110.147567" TargetMode="External"/><Relationship Id="rId758" Type="http://schemas.openxmlformats.org/officeDocument/2006/relationships/hyperlink" Target="https://www.google.com/maps/search/?api=1&amp;query=-7.648467,110.188632" TargetMode="External"/><Relationship Id="rId10" Type="http://schemas.openxmlformats.org/officeDocument/2006/relationships/hyperlink" Target="https://www.google.com/maps/search/?api=1&amp;query=-7.904302,110.071071" TargetMode="External"/><Relationship Id="rId52" Type="http://schemas.openxmlformats.org/officeDocument/2006/relationships/hyperlink" Target="https://www.google.com/maps/search/?api=1&amp;query=-7.843920,110.174604" TargetMode="External"/><Relationship Id="rId94" Type="http://schemas.openxmlformats.org/officeDocument/2006/relationships/hyperlink" Target="https://www.google.com/maps/search/?api=1&amp;query=-7.731791,110.188425" TargetMode="External"/><Relationship Id="rId148" Type="http://schemas.openxmlformats.org/officeDocument/2006/relationships/hyperlink" Target="https://www.google.com/maps/search/?api=1&amp;query=-7.692832,110.154045" TargetMode="External"/><Relationship Id="rId355" Type="http://schemas.openxmlformats.org/officeDocument/2006/relationships/hyperlink" Target="https://www.google.com/maps/search/?api=1&amp;query=-7.906115,110.072881" TargetMode="External"/><Relationship Id="rId397" Type="http://schemas.openxmlformats.org/officeDocument/2006/relationships/hyperlink" Target="https://www.google.com/maps/search/?api=1&amp;query=-7.898834,110.052941" TargetMode="External"/><Relationship Id="rId520" Type="http://schemas.openxmlformats.org/officeDocument/2006/relationships/hyperlink" Target="https://www.google.com/maps/search/?api=1&amp;query=-7.816780,110.171936" TargetMode="External"/><Relationship Id="rId562" Type="http://schemas.openxmlformats.org/officeDocument/2006/relationships/hyperlink" Target="https://www.google.com/maps/search/?api=1&amp;query=-7.923579,110.208919" TargetMode="External"/><Relationship Id="rId618" Type="http://schemas.openxmlformats.org/officeDocument/2006/relationships/hyperlink" Target="peta\sedang_17663.png" TargetMode="External"/><Relationship Id="rId215" Type="http://schemas.openxmlformats.org/officeDocument/2006/relationships/hyperlink" Target="https://www.google.com/maps/search/?api=1&amp;query=-7.903177,110.072831" TargetMode="External"/><Relationship Id="rId257" Type="http://schemas.openxmlformats.org/officeDocument/2006/relationships/hyperlink" Target="https://www.google.com/maps/search/?api=1&amp;query=-7.872052,110.150730" TargetMode="External"/><Relationship Id="rId422" Type="http://schemas.openxmlformats.org/officeDocument/2006/relationships/hyperlink" Target="https://www.google.com/maps/search/?api=1&amp;query=-7.893593,110.052037" TargetMode="External"/><Relationship Id="rId464" Type="http://schemas.openxmlformats.org/officeDocument/2006/relationships/hyperlink" Target="https://www.google.com/maps/search/?api=1&amp;query=-7.824968,110.154332" TargetMode="External"/><Relationship Id="rId299" Type="http://schemas.openxmlformats.org/officeDocument/2006/relationships/hyperlink" Target="https://www.google.com/maps/search/?api=1&amp;query=-7.691147,110.154083" TargetMode="External"/><Relationship Id="rId727" Type="http://schemas.openxmlformats.org/officeDocument/2006/relationships/hyperlink" Target="https://www.google.com/maps/search/?api=1&amp;query=-7.790517,110.154757" TargetMode="External"/><Relationship Id="rId63" Type="http://schemas.openxmlformats.org/officeDocument/2006/relationships/hyperlink" Target="peta/baseline_8934.png" TargetMode="External"/><Relationship Id="rId159" Type="http://schemas.openxmlformats.org/officeDocument/2006/relationships/hyperlink" Target="peta/baseline_18284.png" TargetMode="External"/><Relationship Id="rId366" Type="http://schemas.openxmlformats.org/officeDocument/2006/relationships/hyperlink" Target="peta/rendah_18192.png" TargetMode="External"/><Relationship Id="rId573" Type="http://schemas.openxmlformats.org/officeDocument/2006/relationships/hyperlink" Target="peta/sedang_13621.png" TargetMode="External"/><Relationship Id="rId780" Type="http://schemas.openxmlformats.org/officeDocument/2006/relationships/hyperlink" Target="peta/tinggi_20037.png" TargetMode="External"/><Relationship Id="rId226" Type="http://schemas.openxmlformats.org/officeDocument/2006/relationships/hyperlink" Target="https://www.google.com/maps/search/?api=1&amp;query=-7.859285,110.169131" TargetMode="External"/><Relationship Id="rId433" Type="http://schemas.openxmlformats.org/officeDocument/2006/relationships/hyperlink" Target="https://www.google.com/maps/search/?api=1&amp;query=-7.896115,110.050226" TargetMode="External"/><Relationship Id="rId640" Type="http://schemas.openxmlformats.org/officeDocument/2006/relationships/hyperlink" Target="https://www.google.com/maps/search/?api=1&amp;query=-7.895434,110.154545" TargetMode="External"/><Relationship Id="rId738" Type="http://schemas.openxmlformats.org/officeDocument/2006/relationships/hyperlink" Target="peta\tinggi_13946.png" TargetMode="External"/><Relationship Id="rId74" Type="http://schemas.openxmlformats.org/officeDocument/2006/relationships/hyperlink" Target="https://www.google.com/maps/search/?api=1&amp;query=-7.893593,110.052037" TargetMode="External"/><Relationship Id="rId377" Type="http://schemas.openxmlformats.org/officeDocument/2006/relationships/hyperlink" Target="https://www.google.com/maps/search/?api=1&amp;query=-7.910415,110.228884" TargetMode="External"/><Relationship Id="rId500" Type="http://schemas.openxmlformats.org/officeDocument/2006/relationships/hyperlink" Target="https://www.google.com/maps/search/?api=1&amp;query=-7.814606,110.171039" TargetMode="External"/><Relationship Id="rId584" Type="http://schemas.openxmlformats.org/officeDocument/2006/relationships/hyperlink" Target="https://www.google.com/maps/search/?api=1&amp;query=-7.923944,110.210145" TargetMode="External"/><Relationship Id="rId5" Type="http://schemas.openxmlformats.org/officeDocument/2006/relationships/hyperlink" Target="https://www.google.com/maps/search/?api=1&amp;query=-7.880232,110.142826" TargetMode="External"/><Relationship Id="rId237" Type="http://schemas.openxmlformats.org/officeDocument/2006/relationships/hyperlink" Target="peta/rendah_6084.png" TargetMode="External"/><Relationship Id="rId791" Type="http://schemas.openxmlformats.org/officeDocument/2006/relationships/hyperlink" Target="https://www.google.com/maps/search/?api=1&amp;query=-7.923944,110.210145" TargetMode="External"/><Relationship Id="rId444" Type="http://schemas.openxmlformats.org/officeDocument/2006/relationships/hyperlink" Target="peta/sedang_1804.png" TargetMode="External"/><Relationship Id="rId651" Type="http://schemas.openxmlformats.org/officeDocument/2006/relationships/hyperlink" Target="peta/sedang_22130.png" TargetMode="External"/><Relationship Id="rId749" Type="http://schemas.openxmlformats.org/officeDocument/2006/relationships/hyperlink" Target="https://www.google.com/maps/search/?api=1&amp;query=-7.923944,110.210145" TargetMode="External"/><Relationship Id="rId290" Type="http://schemas.openxmlformats.org/officeDocument/2006/relationships/hyperlink" Target="https://www.google.com/maps/search/?api=1&amp;query=-7.910415,110.228884" TargetMode="External"/><Relationship Id="rId304" Type="http://schemas.openxmlformats.org/officeDocument/2006/relationships/hyperlink" Target="https://www.google.com/maps/search/?api=1&amp;query=-7.755283,110.175684" TargetMode="External"/><Relationship Id="rId388" Type="http://schemas.openxmlformats.org/officeDocument/2006/relationships/hyperlink" Target="https://www.google.com/maps/search/?api=1&amp;query=-7.905206,110.071069" TargetMode="External"/><Relationship Id="rId511" Type="http://schemas.openxmlformats.org/officeDocument/2006/relationships/hyperlink" Target="https://www.google.com/maps/search/?api=1&amp;query=-7.826821,110.219986" TargetMode="External"/><Relationship Id="rId609" Type="http://schemas.openxmlformats.org/officeDocument/2006/relationships/hyperlink" Target="peta\sedang_17409.png" TargetMode="External"/><Relationship Id="rId85" Type="http://schemas.openxmlformats.org/officeDocument/2006/relationships/hyperlink" Target="https://www.google.com/maps/search/?api=1&amp;query=-7.813941,110.110270" TargetMode="External"/><Relationship Id="rId150" Type="http://schemas.openxmlformats.org/officeDocument/2006/relationships/hyperlink" Target="peta/baseline_17663.png" TargetMode="External"/><Relationship Id="rId595" Type="http://schemas.openxmlformats.org/officeDocument/2006/relationships/hyperlink" Target="https://www.google.com/maps/search/?api=1&amp;query=-7.729979,110.186615" TargetMode="External"/><Relationship Id="rId248" Type="http://schemas.openxmlformats.org/officeDocument/2006/relationships/hyperlink" Target="https://www.google.com/maps/search/?api=1&amp;query=-7.824968,110.154332" TargetMode="External"/><Relationship Id="rId455" Type="http://schemas.openxmlformats.org/officeDocument/2006/relationships/hyperlink" Target="https://www.google.com/maps/search/?api=1&amp;query=-7.814606,110.171039" TargetMode="External"/><Relationship Id="rId662" Type="http://schemas.openxmlformats.org/officeDocument/2006/relationships/hyperlink" Target="https://www.google.com/maps/search/?api=1&amp;query=-7.823968,110.211718" TargetMode="External"/><Relationship Id="rId12" Type="http://schemas.openxmlformats.org/officeDocument/2006/relationships/hyperlink" Target="peta/baseline_1198.png" TargetMode="External"/><Relationship Id="rId108" Type="http://schemas.openxmlformats.org/officeDocument/2006/relationships/hyperlink" Target="peta/baseline_14254.png" TargetMode="External"/><Relationship Id="rId315" Type="http://schemas.openxmlformats.org/officeDocument/2006/relationships/hyperlink" Target="peta/rendah_14254.png" TargetMode="External"/><Relationship Id="rId522" Type="http://schemas.openxmlformats.org/officeDocument/2006/relationships/hyperlink" Target="peta\sedang_10405.png" TargetMode="External"/><Relationship Id="rId96" Type="http://schemas.openxmlformats.org/officeDocument/2006/relationships/hyperlink" Target="peta/baseline_13621.png" TargetMode="External"/><Relationship Id="rId161" Type="http://schemas.openxmlformats.org/officeDocument/2006/relationships/hyperlink" Target="https://www.google.com/maps/search/?api=1&amp;query=-7.910415,110.228884" TargetMode="External"/><Relationship Id="rId399" Type="http://schemas.openxmlformats.org/officeDocument/2006/relationships/hyperlink" Target="peta/rendah_20950.png" TargetMode="External"/><Relationship Id="rId259" Type="http://schemas.openxmlformats.org/officeDocument/2006/relationships/hyperlink" Target="https://www.google.com/maps/search/?api=1&amp;query=-7.843920,110.174604" TargetMode="External"/><Relationship Id="rId466" Type="http://schemas.openxmlformats.org/officeDocument/2006/relationships/hyperlink" Target="https://www.google.com/maps/search/?api=1&amp;query=-7.824097,110.214550" TargetMode="External"/><Relationship Id="rId673" Type="http://schemas.openxmlformats.org/officeDocument/2006/relationships/hyperlink" Target="https://www.google.com/maps/search/?api=1&amp;query=-7.824097,110.214550" TargetMode="External"/><Relationship Id="rId23" Type="http://schemas.openxmlformats.org/officeDocument/2006/relationships/hyperlink" Target="https://www.google.com/maps/search/?api=1&amp;query=-7.824968,110.154332" TargetMode="External"/><Relationship Id="rId119" Type="http://schemas.openxmlformats.org/officeDocument/2006/relationships/hyperlink" Target="https://www.google.com/maps/search/?api=1&amp;query=-7.908012,110.129045" TargetMode="External"/><Relationship Id="rId326" Type="http://schemas.openxmlformats.org/officeDocument/2006/relationships/hyperlink" Target="https://www.google.com/maps/search/?api=1&amp;query=-7.908012,110.129045" TargetMode="External"/><Relationship Id="rId533" Type="http://schemas.openxmlformats.org/officeDocument/2006/relationships/hyperlink" Target="https://www.google.com/maps/search/?api=1&amp;query=-7.824432,110.159622" TargetMode="External"/><Relationship Id="rId740" Type="http://schemas.openxmlformats.org/officeDocument/2006/relationships/hyperlink" Target="https://www.google.com/maps/search/?api=1&amp;query=-7.728007,110.186293" TargetMode="External"/><Relationship Id="rId172" Type="http://schemas.openxmlformats.org/officeDocument/2006/relationships/hyperlink" Target="https://www.google.com/maps/search/?api=1&amp;query=-7.897023,110.052038" TargetMode="External"/><Relationship Id="rId477" Type="http://schemas.openxmlformats.org/officeDocument/2006/relationships/hyperlink" Target="peta/sedang_6919.png" TargetMode="External"/><Relationship Id="rId600" Type="http://schemas.openxmlformats.org/officeDocument/2006/relationships/hyperlink" Target="peta\sedang_16501.png" TargetMode="External"/><Relationship Id="rId684" Type="http://schemas.openxmlformats.org/officeDocument/2006/relationships/hyperlink" Target="peta/tinggi_6705.png" TargetMode="External"/><Relationship Id="rId337" Type="http://schemas.openxmlformats.org/officeDocument/2006/relationships/hyperlink" Target="https://www.google.com/maps/search/?api=1&amp;query=-7.729979,110.186615" TargetMode="External"/><Relationship Id="rId34" Type="http://schemas.openxmlformats.org/officeDocument/2006/relationships/hyperlink" Target="https://www.google.com/maps/search/?api=1&amp;query=-7.861993,110.166404" TargetMode="External"/><Relationship Id="rId544" Type="http://schemas.openxmlformats.org/officeDocument/2006/relationships/hyperlink" Target="https://www.google.com/maps/search/?api=1&amp;query=-7.822187,110.161949" TargetMode="External"/><Relationship Id="rId751" Type="http://schemas.openxmlformats.org/officeDocument/2006/relationships/hyperlink" Target="https://www.google.com/maps/search/?api=1&amp;query=-7.731790,110.187518" TargetMode="External"/><Relationship Id="rId183" Type="http://schemas.openxmlformats.org/officeDocument/2006/relationships/hyperlink" Target="peta/baseline_21020.png" TargetMode="External"/><Relationship Id="rId390" Type="http://schemas.openxmlformats.org/officeDocument/2006/relationships/hyperlink" Target="peta/rendah_19779.png" TargetMode="External"/><Relationship Id="rId404" Type="http://schemas.openxmlformats.org/officeDocument/2006/relationships/hyperlink" Target="https://www.google.com/maps/search/?api=1&amp;query=-7.908012,110.129045" TargetMode="External"/><Relationship Id="rId611" Type="http://schemas.openxmlformats.org/officeDocument/2006/relationships/hyperlink" Target="https://www.google.com/maps/search/?api=1&amp;query=-7.910415,110.228884" TargetMode="External"/><Relationship Id="rId250" Type="http://schemas.openxmlformats.org/officeDocument/2006/relationships/hyperlink" Target="https://www.google.com/maps/search/?api=1&amp;query=-7.861090,110.167313" TargetMode="External"/><Relationship Id="rId488" Type="http://schemas.openxmlformats.org/officeDocument/2006/relationships/hyperlink" Target="https://www.google.com/maps/search/?api=1&amp;query=-7.764415,110.166323" TargetMode="External"/><Relationship Id="rId695" Type="http://schemas.openxmlformats.org/officeDocument/2006/relationships/hyperlink" Target="https://www.google.com/maps/search/?api=1&amp;query=-7.762232,110.191306" TargetMode="External"/><Relationship Id="rId709" Type="http://schemas.openxmlformats.org/officeDocument/2006/relationships/hyperlink" Target="https://www.google.com/maps/search/?api=1&amp;query=-7.813941,110.110270" TargetMode="External"/><Relationship Id="rId45" Type="http://schemas.openxmlformats.org/officeDocument/2006/relationships/hyperlink" Target="peta/baseline_7644.png" TargetMode="External"/><Relationship Id="rId110" Type="http://schemas.openxmlformats.org/officeDocument/2006/relationships/hyperlink" Target="https://www.google.com/maps/search/?api=1&amp;query=-7.728007,110.186293" TargetMode="External"/><Relationship Id="rId348" Type="http://schemas.openxmlformats.org/officeDocument/2006/relationships/hyperlink" Target="peta/rendah_17290.png" TargetMode="External"/><Relationship Id="rId555" Type="http://schemas.openxmlformats.org/officeDocument/2006/relationships/hyperlink" Target="peta/sedang_12710.png" TargetMode="External"/><Relationship Id="rId762" Type="http://schemas.openxmlformats.org/officeDocument/2006/relationships/hyperlink" Target="peta/tinggi_16905.png" TargetMode="External"/><Relationship Id="rId194" Type="http://schemas.openxmlformats.org/officeDocument/2006/relationships/hyperlink" Target="https://www.google.com/maps/search/?api=1&amp;query=-7.907210,110.077453" TargetMode="External"/><Relationship Id="rId208" Type="http://schemas.openxmlformats.org/officeDocument/2006/relationships/hyperlink" Target="https://www.google.com/maps/search/?api=1&amp;query=-7.880040,110.145505" TargetMode="External"/><Relationship Id="rId415" Type="http://schemas.openxmlformats.org/officeDocument/2006/relationships/hyperlink" Target="https://www.google.com/maps/search/?api=1&amp;query=-7.930656,110.129072" TargetMode="External"/><Relationship Id="rId622" Type="http://schemas.openxmlformats.org/officeDocument/2006/relationships/hyperlink" Target="https://www.google.com/maps/search/?api=1&amp;query=-7.913668,110.228896" TargetMode="External"/><Relationship Id="rId261" Type="http://schemas.openxmlformats.org/officeDocument/2006/relationships/hyperlink" Target="peta/rendah_8286.png" TargetMode="External"/><Relationship Id="rId499" Type="http://schemas.openxmlformats.org/officeDocument/2006/relationships/hyperlink" Target="https://www.google.com/maps/search/?api=1&amp;query=-7.816784,110.173750" TargetMode="External"/><Relationship Id="rId56" Type="http://schemas.openxmlformats.org/officeDocument/2006/relationships/hyperlink" Target="https://www.google.com/maps/search/?api=1&amp;query=-7.880232,110.142826" TargetMode="External"/><Relationship Id="rId359" Type="http://schemas.openxmlformats.org/officeDocument/2006/relationships/hyperlink" Target="https://www.google.com/maps/search/?api=1&amp;query=-7.691147,110.154083" TargetMode="External"/><Relationship Id="rId566" Type="http://schemas.openxmlformats.org/officeDocument/2006/relationships/hyperlink" Target="https://www.google.com/maps/search/?api=1&amp;query=-7.691147,110.154083" TargetMode="External"/><Relationship Id="rId773" Type="http://schemas.openxmlformats.org/officeDocument/2006/relationships/hyperlink" Target="https://www.google.com/maps/search/?api=1&amp;query=-7.891881,110.178626" TargetMode="External"/><Relationship Id="rId121" Type="http://schemas.openxmlformats.org/officeDocument/2006/relationships/hyperlink" Target="https://www.google.com/maps/search/?api=1&amp;query=-7.897928,110.052036" TargetMode="External"/><Relationship Id="rId219" Type="http://schemas.openxmlformats.org/officeDocument/2006/relationships/hyperlink" Target="peta/rendah_3043.png" TargetMode="External"/><Relationship Id="rId426" Type="http://schemas.openxmlformats.org/officeDocument/2006/relationships/hyperlink" Target="peta/rendah_22145.png" TargetMode="External"/><Relationship Id="rId633" Type="http://schemas.openxmlformats.org/officeDocument/2006/relationships/hyperlink" Target="peta/sedang_20037.png" TargetMode="External"/><Relationship Id="rId67" Type="http://schemas.openxmlformats.org/officeDocument/2006/relationships/hyperlink" Target="https://www.google.com/maps/search/?api=1&amp;query=-7.879134,110.144600" TargetMode="External"/><Relationship Id="rId272" Type="http://schemas.openxmlformats.org/officeDocument/2006/relationships/hyperlink" Target="https://www.google.com/maps/search/?api=1&amp;query=-7.858997,110.165148" TargetMode="External"/><Relationship Id="rId577" Type="http://schemas.openxmlformats.org/officeDocument/2006/relationships/hyperlink" Target="https://www.google.com/maps/search/?api=1&amp;query=-7.728170,110.186618" TargetMode="External"/><Relationship Id="rId700" Type="http://schemas.openxmlformats.org/officeDocument/2006/relationships/hyperlink" Target="https://www.google.com/maps/search/?api=1&amp;query=-7.821181,110.112068" TargetMode="External"/><Relationship Id="rId132" Type="http://schemas.openxmlformats.org/officeDocument/2006/relationships/hyperlink" Target="peta/baseline_16619.png" TargetMode="External"/><Relationship Id="rId784" Type="http://schemas.openxmlformats.org/officeDocument/2006/relationships/hyperlink" Target="https://www.google.com/maps/search/?api=1&amp;query=-7.923576,110.207105" TargetMode="External"/><Relationship Id="rId437" Type="http://schemas.openxmlformats.org/officeDocument/2006/relationships/hyperlink" Target="https://www.google.com/maps/search/?api=1&amp;query=-7.827605,110.213348" TargetMode="External"/><Relationship Id="rId644" Type="http://schemas.openxmlformats.org/officeDocument/2006/relationships/hyperlink" Target="https://www.google.com/maps/search/?api=1&amp;query=-7.910415,110.228884" TargetMode="External"/><Relationship Id="rId283" Type="http://schemas.openxmlformats.org/officeDocument/2006/relationships/hyperlink" Target="https://www.google.com/maps/search/?api=1&amp;query=-7.825811,110.164663" TargetMode="External"/><Relationship Id="rId490" Type="http://schemas.openxmlformats.org/officeDocument/2006/relationships/hyperlink" Target="https://www.google.com/maps/search/?api=1&amp;query=-7.821382,110.213648" TargetMode="External"/><Relationship Id="rId504" Type="http://schemas.openxmlformats.org/officeDocument/2006/relationships/hyperlink" Target="peta/sedang_9273.png" TargetMode="External"/><Relationship Id="rId711" Type="http://schemas.openxmlformats.org/officeDocument/2006/relationships/hyperlink" Target="peta/tinggi_11746.png" TargetMode="External"/><Relationship Id="rId78" Type="http://schemas.openxmlformats.org/officeDocument/2006/relationships/hyperlink" Target="peta/baseline_10293.png" TargetMode="External"/><Relationship Id="rId143" Type="http://schemas.openxmlformats.org/officeDocument/2006/relationships/hyperlink" Target="https://www.google.com/maps/search/?api=1&amp;query=-7.910415,110.228884" TargetMode="External"/><Relationship Id="rId350" Type="http://schemas.openxmlformats.org/officeDocument/2006/relationships/hyperlink" Target="https://www.google.com/maps/search/?api=1&amp;query=-7.717685,110.171439" TargetMode="External"/><Relationship Id="rId588" Type="http://schemas.openxmlformats.org/officeDocument/2006/relationships/hyperlink" Target="peta\sedang_15645.png" TargetMode="External"/><Relationship Id="rId9" Type="http://schemas.openxmlformats.org/officeDocument/2006/relationships/hyperlink" Target="peta/baseline_1152.png" TargetMode="External"/><Relationship Id="rId210" Type="http://schemas.openxmlformats.org/officeDocument/2006/relationships/hyperlink" Target="peta/rendah_712.png" TargetMode="External"/><Relationship Id="rId448" Type="http://schemas.openxmlformats.org/officeDocument/2006/relationships/hyperlink" Target="https://www.google.com/maps/search/?api=1&amp;query=-7.817686,110.172841" TargetMode="External"/><Relationship Id="rId655" Type="http://schemas.openxmlformats.org/officeDocument/2006/relationships/hyperlink" Target="https://www.google.com/maps/search/?api=1&amp;query=-7.915480,110.230707" TargetMode="External"/><Relationship Id="rId294" Type="http://schemas.openxmlformats.org/officeDocument/2006/relationships/hyperlink" Target="peta/rendah_11746.png" TargetMode="External"/><Relationship Id="rId308" Type="http://schemas.openxmlformats.org/officeDocument/2006/relationships/hyperlink" Target="https://www.google.com/maps/search/?api=1&amp;query=-7.893593,110.052037" TargetMode="External"/><Relationship Id="rId515" Type="http://schemas.openxmlformats.org/officeDocument/2006/relationships/hyperlink" Target="https://www.google.com/maps/search/?api=1&amp;query=-7.860351,110.156550" TargetMode="External"/><Relationship Id="rId722" Type="http://schemas.openxmlformats.org/officeDocument/2006/relationships/hyperlink" Target="https://www.google.com/maps/search/?api=1&amp;query=-7.691147,110.154083" TargetMode="External"/><Relationship Id="rId89" Type="http://schemas.openxmlformats.org/officeDocument/2006/relationships/hyperlink" Target="https://www.google.com/maps/search/?api=1&amp;query=-7.786417,110.147567" TargetMode="External"/><Relationship Id="rId154" Type="http://schemas.openxmlformats.org/officeDocument/2006/relationships/hyperlink" Target="https://www.google.com/maps/search/?api=1&amp;query=-7.895210,110.050228" TargetMode="External"/><Relationship Id="rId361" Type="http://schemas.openxmlformats.org/officeDocument/2006/relationships/hyperlink" Target="https://www.google.com/maps/search/?api=1&amp;query=-7.894320,110.056580" TargetMode="External"/><Relationship Id="rId599" Type="http://schemas.openxmlformats.org/officeDocument/2006/relationships/hyperlink" Target="https://www.google.com/maps/search/?api=1&amp;query=-7.923944,110.210145" TargetMode="External"/><Relationship Id="rId459" Type="http://schemas.openxmlformats.org/officeDocument/2006/relationships/hyperlink" Target="peta/sedang_4484.png" TargetMode="External"/><Relationship Id="rId666" Type="http://schemas.openxmlformats.org/officeDocument/2006/relationships/hyperlink" Target="peta/tinggi_2005.png" TargetMode="External"/><Relationship Id="rId16" Type="http://schemas.openxmlformats.org/officeDocument/2006/relationships/hyperlink" Target="https://www.google.com/maps/search/?api=1&amp;query=-7.826715,110.164661" TargetMode="External"/><Relationship Id="rId221" Type="http://schemas.openxmlformats.org/officeDocument/2006/relationships/hyperlink" Target="https://www.google.com/maps/search/?api=1&amp;query=-7.826649,110.161965" TargetMode="External"/><Relationship Id="rId319" Type="http://schemas.openxmlformats.org/officeDocument/2006/relationships/hyperlink" Target="https://www.google.com/maps/search/?api=1&amp;query=-7.898836,110.053848" TargetMode="External"/><Relationship Id="rId526" Type="http://schemas.openxmlformats.org/officeDocument/2006/relationships/hyperlink" Target="https://www.google.com/maps/search/?api=1&amp;query=-7.803174,110.152011" TargetMode="External"/><Relationship Id="rId733" Type="http://schemas.openxmlformats.org/officeDocument/2006/relationships/hyperlink" Target="https://www.google.com/maps/search/?api=1&amp;query=-7.702959,110.249230" TargetMode="External"/><Relationship Id="rId165" Type="http://schemas.openxmlformats.org/officeDocument/2006/relationships/hyperlink" Target="peta/baseline_18975.png" TargetMode="External"/><Relationship Id="rId372" Type="http://schemas.openxmlformats.org/officeDocument/2006/relationships/hyperlink" Target="peta/rendah_18284.png" TargetMode="External"/><Relationship Id="rId677" Type="http://schemas.openxmlformats.org/officeDocument/2006/relationships/hyperlink" Target="https://www.google.com/maps/search/?api=1&amp;query=-7.786417,110.147567" TargetMode="External"/><Relationship Id="rId232" Type="http://schemas.openxmlformats.org/officeDocument/2006/relationships/hyperlink" Target="https://www.google.com/maps/search/?api=1&amp;query=-7.822175,110.155600" TargetMode="External"/><Relationship Id="rId27" Type="http://schemas.openxmlformats.org/officeDocument/2006/relationships/hyperlink" Target="peta/baseline_5481.png" TargetMode="External"/><Relationship Id="rId537" Type="http://schemas.openxmlformats.org/officeDocument/2006/relationships/hyperlink" Target="peta\sedang_11219.png" TargetMode="External"/><Relationship Id="rId744" Type="http://schemas.openxmlformats.org/officeDocument/2006/relationships/hyperlink" Target="peta/tinggi_14990.png" TargetMode="External"/><Relationship Id="rId80" Type="http://schemas.openxmlformats.org/officeDocument/2006/relationships/hyperlink" Target="https://www.google.com/maps/search/?api=1&amp;query=-7.805423,110.150704" TargetMode="External"/><Relationship Id="rId176" Type="http://schemas.openxmlformats.org/officeDocument/2006/relationships/hyperlink" Target="https://www.google.com/maps/search/?api=1&amp;query=-7.896118,110.054667" TargetMode="External"/><Relationship Id="rId383" Type="http://schemas.openxmlformats.org/officeDocument/2006/relationships/hyperlink" Target="https://www.google.com/maps/search/?api=1&amp;query=-7.927862,110.128547" TargetMode="External"/><Relationship Id="rId590" Type="http://schemas.openxmlformats.org/officeDocument/2006/relationships/hyperlink" Target="https://www.google.com/maps/search/?api=1&amp;query=-7.928778,110.207966" TargetMode="External"/><Relationship Id="rId604" Type="http://schemas.openxmlformats.org/officeDocument/2006/relationships/hyperlink" Target="https://www.google.com/maps/search/?api=1&amp;query=-7.926293,110.208914" TargetMode="External"/><Relationship Id="rId243" Type="http://schemas.openxmlformats.org/officeDocument/2006/relationships/hyperlink" Target="peta/rendah_6528.png" TargetMode="External"/><Relationship Id="rId450" Type="http://schemas.openxmlformats.org/officeDocument/2006/relationships/hyperlink" Target="peta/sedang_2919.png" TargetMode="External"/><Relationship Id="rId688" Type="http://schemas.openxmlformats.org/officeDocument/2006/relationships/hyperlink" Target="https://www.google.com/maps/search/?api=1&amp;query=-7.766114,110.163874" TargetMode="External"/><Relationship Id="rId38" Type="http://schemas.openxmlformats.org/officeDocument/2006/relationships/hyperlink" Target="https://www.google.com/maps/search/?api=1&amp;query=-7.872052,110.150730" TargetMode="External"/><Relationship Id="rId103" Type="http://schemas.openxmlformats.org/officeDocument/2006/relationships/hyperlink" Target="https://www.google.com/maps/search/?api=1&amp;query=-7.897028,110.053852" TargetMode="External"/><Relationship Id="rId310" Type="http://schemas.openxmlformats.org/officeDocument/2006/relationships/hyperlink" Target="https://www.google.com/maps/search/?api=1&amp;query=-7.897028,110.053852" TargetMode="External"/><Relationship Id="rId548" Type="http://schemas.openxmlformats.org/officeDocument/2006/relationships/hyperlink" Target="https://www.google.com/maps/search/?api=1&amp;query=-7.828083,110.222222" TargetMode="External"/><Relationship Id="rId755" Type="http://schemas.openxmlformats.org/officeDocument/2006/relationships/hyperlink" Target="https://www.google.com/maps/search/?api=1&amp;query=-7.728007,110.186293" TargetMode="External"/><Relationship Id="rId91" Type="http://schemas.openxmlformats.org/officeDocument/2006/relationships/hyperlink" Target="https://www.google.com/maps/search/?api=1&amp;query=-7.692834,110.154951" TargetMode="External"/><Relationship Id="rId187" Type="http://schemas.openxmlformats.org/officeDocument/2006/relationships/hyperlink" Target="https://www.google.com/maps/search/?api=1&amp;query=-7.897025,110.052945" TargetMode="External"/><Relationship Id="rId394" Type="http://schemas.openxmlformats.org/officeDocument/2006/relationships/hyperlink" Target="https://www.google.com/maps/search/?api=1&amp;query=-7.897023,110.052038" TargetMode="External"/><Relationship Id="rId408" Type="http://schemas.openxmlformats.org/officeDocument/2006/relationships/hyperlink" Target="peta/rendah_21384.png" TargetMode="External"/><Relationship Id="rId615" Type="http://schemas.openxmlformats.org/officeDocument/2006/relationships/hyperlink" Target="peta/sedang_17440.png" TargetMode="External"/><Relationship Id="rId254" Type="http://schemas.openxmlformats.org/officeDocument/2006/relationships/hyperlink" Target="https://www.google.com/maps/search/?api=1&amp;query=-7.764415,110.166323" TargetMode="External"/><Relationship Id="rId699" Type="http://schemas.openxmlformats.org/officeDocument/2006/relationships/hyperlink" Target="peta/tinggi_9358.png" TargetMode="External"/><Relationship Id="rId49" Type="http://schemas.openxmlformats.org/officeDocument/2006/relationships/hyperlink" Target="https://www.google.com/maps/search/?api=1&amp;query=-7.871904,110.147336" TargetMode="External"/><Relationship Id="rId114" Type="http://schemas.openxmlformats.org/officeDocument/2006/relationships/hyperlink" Target="peta/baseline_14867.png" TargetMode="External"/><Relationship Id="rId461" Type="http://schemas.openxmlformats.org/officeDocument/2006/relationships/hyperlink" Target="https://www.google.com/maps/search/?api=1&amp;query=-7.859256,110.061865" TargetMode="External"/><Relationship Id="rId559" Type="http://schemas.openxmlformats.org/officeDocument/2006/relationships/hyperlink" Target="https://www.google.com/maps/search/?api=1&amp;query=-7.947025,110.172584" TargetMode="External"/><Relationship Id="rId766" Type="http://schemas.openxmlformats.org/officeDocument/2006/relationships/hyperlink" Target="https://www.google.com/maps/search/?api=1&amp;query=-7.715479,110.172134" TargetMode="External"/><Relationship Id="rId198" Type="http://schemas.openxmlformats.org/officeDocument/2006/relationships/hyperlink" Target="peta/baseline_21723.png" TargetMode="External"/><Relationship Id="rId321" Type="http://schemas.openxmlformats.org/officeDocument/2006/relationships/hyperlink" Target="peta/rendah_14867.png" TargetMode="External"/><Relationship Id="rId419" Type="http://schemas.openxmlformats.org/officeDocument/2006/relationships/hyperlink" Target="https://www.google.com/maps/search/?api=1&amp;query=-7.907210,110.077453" TargetMode="External"/><Relationship Id="rId626" Type="http://schemas.openxmlformats.org/officeDocument/2006/relationships/hyperlink" Target="https://www.google.com/maps/search/?api=1&amp;query=-7.917724,110.229121" TargetMode="External"/><Relationship Id="rId265" Type="http://schemas.openxmlformats.org/officeDocument/2006/relationships/hyperlink" Target="https://www.google.com/maps/search/?api=1&amp;query=-7.760728,110.184742" TargetMode="External"/><Relationship Id="rId472" Type="http://schemas.openxmlformats.org/officeDocument/2006/relationships/hyperlink" Target="https://www.google.com/maps/search/?api=1&amp;query=-7.822287,110.213646" TargetMode="External"/><Relationship Id="rId125" Type="http://schemas.openxmlformats.org/officeDocument/2006/relationships/hyperlink" Target="https://www.google.com/maps/search/?api=1&amp;query=-7.733637,110.186243" TargetMode="External"/><Relationship Id="rId332" Type="http://schemas.openxmlformats.org/officeDocument/2006/relationships/hyperlink" Target="https://www.google.com/maps/search/?api=1&amp;query=-7.733637,110.186243" TargetMode="External"/><Relationship Id="rId777" Type="http://schemas.openxmlformats.org/officeDocument/2006/relationships/hyperlink" Target="peta\tinggi_18544.png" TargetMode="External"/><Relationship Id="rId637" Type="http://schemas.openxmlformats.org/officeDocument/2006/relationships/hyperlink" Target="https://www.google.com/maps/search/?api=1&amp;query=-7.924482,110.208010" TargetMode="External"/><Relationship Id="rId276" Type="http://schemas.openxmlformats.org/officeDocument/2006/relationships/hyperlink" Target="peta/rendah_9061.png" TargetMode="External"/><Relationship Id="rId483" Type="http://schemas.openxmlformats.org/officeDocument/2006/relationships/hyperlink" Target="peta/sedang_7393.png" TargetMode="External"/><Relationship Id="rId690" Type="http://schemas.openxmlformats.org/officeDocument/2006/relationships/hyperlink" Target="peta/tinggi_7834.png" TargetMode="External"/><Relationship Id="rId704" Type="http://schemas.openxmlformats.org/officeDocument/2006/relationships/hyperlink" Target="https://www.google.com/maps/search/?api=1&amp;query=-7.805423,110.150704" TargetMode="External"/><Relationship Id="rId40" Type="http://schemas.openxmlformats.org/officeDocument/2006/relationships/hyperlink" Target="https://www.google.com/maps/search/?api=1&amp;query=-7.823079,110.155598" TargetMode="External"/><Relationship Id="rId136" Type="http://schemas.openxmlformats.org/officeDocument/2006/relationships/hyperlink" Target="https://www.google.com/maps/search/?api=1&amp;query=-7.903393,110.069259" TargetMode="External"/><Relationship Id="rId343" Type="http://schemas.openxmlformats.org/officeDocument/2006/relationships/hyperlink" Target="https://www.google.com/maps/search/?api=1&amp;query=-7.900833,110.140927" TargetMode="External"/><Relationship Id="rId550" Type="http://schemas.openxmlformats.org/officeDocument/2006/relationships/hyperlink" Target="https://www.google.com/maps/search/?api=1&amp;query=-7.816782,110.172843" TargetMode="External"/><Relationship Id="rId788" Type="http://schemas.openxmlformats.org/officeDocument/2006/relationships/hyperlink" Target="https://www.google.com/maps/search/?api=1&amp;query=-7.923944,110.210145" TargetMode="External"/><Relationship Id="rId203" Type="http://schemas.openxmlformats.org/officeDocument/2006/relationships/hyperlink" Target="https://www.google.com/maps/search/?api=1&amp;query=-7.903177,110.072831" TargetMode="External"/><Relationship Id="rId648" Type="http://schemas.openxmlformats.org/officeDocument/2006/relationships/hyperlink" Target="peta/sedang_21910.png" TargetMode="External"/><Relationship Id="rId287" Type="http://schemas.openxmlformats.org/officeDocument/2006/relationships/hyperlink" Target="https://www.google.com/maps/search/?api=1&amp;query=-7.805423,110.150704" TargetMode="External"/><Relationship Id="rId410" Type="http://schemas.openxmlformats.org/officeDocument/2006/relationships/hyperlink" Target="https://www.google.com/maps/search/?api=1&amp;query=-7.896118,110.054667" TargetMode="External"/><Relationship Id="rId494" Type="http://schemas.openxmlformats.org/officeDocument/2006/relationships/hyperlink" Target="https://www.google.com/maps/search/?api=1&amp;query=-7.827605,110.213348" TargetMode="External"/><Relationship Id="rId508" Type="http://schemas.openxmlformats.org/officeDocument/2006/relationships/hyperlink" Target="https://www.google.com/maps/search/?api=1&amp;query=-7.821181,110.112068" TargetMode="External"/><Relationship Id="rId715" Type="http://schemas.openxmlformats.org/officeDocument/2006/relationships/hyperlink" Target="https://www.google.com/maps/search/?api=1&amp;query=-7.789598,110.147503" TargetMode="External"/><Relationship Id="rId147" Type="http://schemas.openxmlformats.org/officeDocument/2006/relationships/hyperlink" Target="peta/baseline_17558.png" TargetMode="External"/><Relationship Id="rId354" Type="http://schemas.openxmlformats.org/officeDocument/2006/relationships/hyperlink" Target="peta/rendah_17432.png" TargetMode="External"/><Relationship Id="rId51" Type="http://schemas.openxmlformats.org/officeDocument/2006/relationships/hyperlink" Target="peta/baseline_7857.png" TargetMode="External"/><Relationship Id="rId561" Type="http://schemas.openxmlformats.org/officeDocument/2006/relationships/hyperlink" Target="peta\sedang_13056.png" TargetMode="External"/><Relationship Id="rId659" Type="http://schemas.openxmlformats.org/officeDocument/2006/relationships/hyperlink" Target="https://www.google.com/maps/search/?api=1&amp;query=-7.923944,110.210145" TargetMode="External"/><Relationship Id="rId214" Type="http://schemas.openxmlformats.org/officeDocument/2006/relationships/hyperlink" Target="https://www.google.com/maps/search/?api=1&amp;query=-7.904302,110.071071" TargetMode="External"/><Relationship Id="rId298" Type="http://schemas.openxmlformats.org/officeDocument/2006/relationships/hyperlink" Target="https://www.google.com/maps/search/?api=1&amp;query=-7.692834,110.154951" TargetMode="External"/><Relationship Id="rId421" Type="http://schemas.openxmlformats.org/officeDocument/2006/relationships/hyperlink" Target="https://www.google.com/maps/search/?api=1&amp;query=-7.896117,110.051133" TargetMode="External"/><Relationship Id="rId519" Type="http://schemas.openxmlformats.org/officeDocument/2006/relationships/hyperlink" Target="peta\sedang_10281.png" TargetMode="External"/><Relationship Id="rId158" Type="http://schemas.openxmlformats.org/officeDocument/2006/relationships/hyperlink" Target="https://www.google.com/maps/search/?api=1&amp;query=-7.903177,110.072831" TargetMode="External"/><Relationship Id="rId726" Type="http://schemas.openxmlformats.org/officeDocument/2006/relationships/hyperlink" Target="peta/tinggi_13219.png" TargetMode="External"/><Relationship Id="rId62" Type="http://schemas.openxmlformats.org/officeDocument/2006/relationships/hyperlink" Target="https://www.google.com/maps/search/?api=1&amp;query=-7.880232,110.142826" TargetMode="External"/><Relationship Id="rId365" Type="http://schemas.openxmlformats.org/officeDocument/2006/relationships/hyperlink" Target="https://www.google.com/maps/search/?api=1&amp;query=-7.927862,110.128547" TargetMode="External"/><Relationship Id="rId572" Type="http://schemas.openxmlformats.org/officeDocument/2006/relationships/hyperlink" Target="https://www.google.com/maps/search/?api=1&amp;query=-7.733637,110.186243" TargetMode="External"/><Relationship Id="rId225" Type="http://schemas.openxmlformats.org/officeDocument/2006/relationships/hyperlink" Target="peta/rendah_3591.png" TargetMode="External"/><Relationship Id="rId432" Type="http://schemas.openxmlformats.org/officeDocument/2006/relationships/hyperlink" Target="peta/rendah_22663.png" TargetMode="External"/><Relationship Id="rId737" Type="http://schemas.openxmlformats.org/officeDocument/2006/relationships/hyperlink" Target="https://www.google.com/maps/search/?api=1&amp;query=-7.754016,110.176027" TargetMode="External"/><Relationship Id="rId73" Type="http://schemas.openxmlformats.org/officeDocument/2006/relationships/hyperlink" Target="https://www.google.com/maps/search/?api=1&amp;query=-7.897021,110.051131" TargetMode="External"/><Relationship Id="rId169" Type="http://schemas.openxmlformats.org/officeDocument/2006/relationships/hyperlink" Target="https://www.google.com/maps/search/?api=1&amp;query=-7.905206,110.071069" TargetMode="External"/><Relationship Id="rId376" Type="http://schemas.openxmlformats.org/officeDocument/2006/relationships/hyperlink" Target="https://www.google.com/maps/search/?api=1&amp;query=-7.913668,110.228896" TargetMode="External"/><Relationship Id="rId583" Type="http://schemas.openxmlformats.org/officeDocument/2006/relationships/hyperlink" Target="https://www.google.com/maps/search/?api=1&amp;query=-7.925387,110.208008" TargetMode="External"/><Relationship Id="rId790" Type="http://schemas.openxmlformats.org/officeDocument/2006/relationships/hyperlink" Target="https://www.google.com/maps/search/?api=1&amp;query=-7.924486,110.209824" TargetMode="External"/><Relationship Id="rId4" Type="http://schemas.openxmlformats.org/officeDocument/2006/relationships/hyperlink" Target="https://www.google.com/maps/search/?api=1&amp;query=-7.880040,110.145505" TargetMode="External"/><Relationship Id="rId236" Type="http://schemas.openxmlformats.org/officeDocument/2006/relationships/hyperlink" Target="https://www.google.com/maps/search/?api=1&amp;query=-7.872052,110.150730" TargetMode="External"/><Relationship Id="rId443" Type="http://schemas.openxmlformats.org/officeDocument/2006/relationships/hyperlink" Target="https://www.google.com/maps/search/?api=1&amp;query=-7.814606,110.171039" TargetMode="External"/><Relationship Id="rId650" Type="http://schemas.openxmlformats.org/officeDocument/2006/relationships/hyperlink" Target="https://www.google.com/maps/search/?api=1&amp;query=-7.923944,110.210145" TargetMode="External"/><Relationship Id="rId303" Type="http://schemas.openxmlformats.org/officeDocument/2006/relationships/hyperlink" Target="peta/rendah_13621.png" TargetMode="External"/><Relationship Id="rId748" Type="http://schemas.openxmlformats.org/officeDocument/2006/relationships/hyperlink" Target="https://www.google.com/maps/search/?api=1&amp;query=-7.922675,110.208921" TargetMode="External"/><Relationship Id="rId84" Type="http://schemas.openxmlformats.org/officeDocument/2006/relationships/hyperlink" Target="peta/baseline_11219.png" TargetMode="External"/><Relationship Id="rId387" Type="http://schemas.openxmlformats.org/officeDocument/2006/relationships/hyperlink" Target="peta/rendah_19702.png" TargetMode="External"/><Relationship Id="rId510" Type="http://schemas.openxmlformats.org/officeDocument/2006/relationships/hyperlink" Target="peta/sedang_9702.png" TargetMode="External"/><Relationship Id="rId594" Type="http://schemas.openxmlformats.org/officeDocument/2006/relationships/hyperlink" Target="peta\sedang_16216.png" TargetMode="External"/><Relationship Id="rId608" Type="http://schemas.openxmlformats.org/officeDocument/2006/relationships/hyperlink" Target="https://www.google.com/maps/search/?api=1&amp;query=-7.717685,110.171439" TargetMode="External"/><Relationship Id="rId247" Type="http://schemas.openxmlformats.org/officeDocument/2006/relationships/hyperlink" Target="https://www.google.com/maps/search/?api=1&amp;query=-7.823079,110.155598" TargetMode="External"/><Relationship Id="rId107" Type="http://schemas.openxmlformats.org/officeDocument/2006/relationships/hyperlink" Target="https://www.google.com/maps/search/?api=1&amp;query=-7.896118,110.054667" TargetMode="External"/><Relationship Id="rId454" Type="http://schemas.openxmlformats.org/officeDocument/2006/relationships/hyperlink" Target="https://www.google.com/maps/search/?api=1&amp;query=-7.815874,110.171031" TargetMode="External"/><Relationship Id="rId661" Type="http://schemas.openxmlformats.org/officeDocument/2006/relationships/hyperlink" Target="https://www.google.com/maps/search/?api=1&amp;query=-7.823191,110.213644" TargetMode="External"/><Relationship Id="rId759" Type="http://schemas.openxmlformats.org/officeDocument/2006/relationships/hyperlink" Target="peta/tinggi_16619.png" TargetMode="External"/><Relationship Id="rId11" Type="http://schemas.openxmlformats.org/officeDocument/2006/relationships/hyperlink" Target="https://www.google.com/maps/search/?api=1&amp;query=-7.903177,110.072831" TargetMode="External"/><Relationship Id="rId314" Type="http://schemas.openxmlformats.org/officeDocument/2006/relationships/hyperlink" Target="https://www.google.com/maps/search/?api=1&amp;query=-7.896118,110.054667" TargetMode="External"/><Relationship Id="rId398" Type="http://schemas.openxmlformats.org/officeDocument/2006/relationships/hyperlink" Target="https://www.google.com/maps/search/?api=1&amp;query=-7.896118,110.054667" TargetMode="External"/><Relationship Id="rId521" Type="http://schemas.openxmlformats.org/officeDocument/2006/relationships/hyperlink" Target="https://www.google.com/maps/search/?api=1&amp;query=-7.814606,110.171039" TargetMode="External"/><Relationship Id="rId619" Type="http://schemas.openxmlformats.org/officeDocument/2006/relationships/hyperlink" Target="https://www.google.com/maps/search/?api=1&amp;query=-7.947928,110.171675" TargetMode="External"/><Relationship Id="rId95" Type="http://schemas.openxmlformats.org/officeDocument/2006/relationships/hyperlink" Target="https://www.google.com/maps/search/?api=1&amp;query=-7.733637,110.186243" TargetMode="External"/><Relationship Id="rId160" Type="http://schemas.openxmlformats.org/officeDocument/2006/relationships/hyperlink" Target="https://www.google.com/maps/search/?api=1&amp;query=-7.913668,110.228896"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google.com/maps/@-7.822477,110.155902,18z/data=!3m1!1e3" TargetMode="External"/><Relationship Id="rId13" Type="http://schemas.openxmlformats.org/officeDocument/2006/relationships/hyperlink" Target="https://www.google.com/maps/@-7.692833,110.154498,18z/data=!3m1!1e3" TargetMode="External"/><Relationship Id="rId18" Type="http://schemas.openxmlformats.org/officeDocument/2006/relationships/hyperlink" Target="https://www.google.com/maps/@-7.760728,110.184742,18z/data=!3m1!1e3" TargetMode="External"/><Relationship Id="rId26" Type="http://schemas.openxmlformats.org/officeDocument/2006/relationships/hyperlink" Target="https://www.google.com/maps/@-7.647678,110.190398,18z/data=!3m1!1e3" TargetMode="External"/><Relationship Id="rId3" Type="http://schemas.openxmlformats.org/officeDocument/2006/relationships/hyperlink" Target="https://www.google.com/maps/@-7.880189,110.144598,18z/data=!3m1!1e3" TargetMode="External"/><Relationship Id="rId21" Type="http://schemas.openxmlformats.org/officeDocument/2006/relationships/hyperlink" Target="https://www.google.com/maps/@-7.857565,110.215394,18z/data=!3m1!1e3" TargetMode="External"/><Relationship Id="rId7" Type="http://schemas.openxmlformats.org/officeDocument/2006/relationships/hyperlink" Target="https://www.google.com/maps/@-7.730433,110.187294,18z/data=!3m1!1e3" TargetMode="External"/><Relationship Id="rId12" Type="http://schemas.openxmlformats.org/officeDocument/2006/relationships/hyperlink" Target="https://www.google.com/maps/@-7.826263,110.164662,18z/data=!3m1!1e3" TargetMode="External"/><Relationship Id="rId17" Type="http://schemas.openxmlformats.org/officeDocument/2006/relationships/hyperlink" Target="https://www.google.com/maps/@-7.843920,110.174604,18z/data=!3m1!1e3" TargetMode="External"/><Relationship Id="rId25" Type="http://schemas.openxmlformats.org/officeDocument/2006/relationships/hyperlink" Target="https://www.google.com/maps/@-7.755283,110.175684,18z/data=!3m1!1e3" TargetMode="External"/><Relationship Id="rId2" Type="http://schemas.openxmlformats.org/officeDocument/2006/relationships/hyperlink" Target="https://www.google.com/maps/@-7.905207,110.071328,18z/data=!3m1!1e3" TargetMode="External"/><Relationship Id="rId16" Type="http://schemas.openxmlformats.org/officeDocument/2006/relationships/hyperlink" Target="https://www.google.com/maps/@-7.766114,110.163874,18z/data=!3m1!1e3" TargetMode="External"/><Relationship Id="rId20" Type="http://schemas.openxmlformats.org/officeDocument/2006/relationships/hyperlink" Target="https://www.google.com/maps/@-7.803174,110.152011,18z/data=!3m1!1e3" TargetMode="External"/><Relationship Id="rId29" Type="http://schemas.openxmlformats.org/officeDocument/2006/relationships/hyperlink" Target="https://www.google.com/maps/@-7.715479,110.172134,18z/data=!3m1!1e3" TargetMode="External"/><Relationship Id="rId1" Type="http://schemas.openxmlformats.org/officeDocument/2006/relationships/hyperlink" Target="https://www.google.com/maps/@-7.896815,110.052038,18z/data=!3m1!1e3" TargetMode="External"/><Relationship Id="rId6" Type="http://schemas.openxmlformats.org/officeDocument/2006/relationships/hyperlink" Target="https://www.google.com/maps/@-7.913216,110.229350,18z/data=!3m1!1e3" TargetMode="External"/><Relationship Id="rId11" Type="http://schemas.openxmlformats.org/officeDocument/2006/relationships/hyperlink" Target="https://www.google.com/maps/@-7.893668,110.176017,18z/data=!3m1!1e3" TargetMode="External"/><Relationship Id="rId24" Type="http://schemas.openxmlformats.org/officeDocument/2006/relationships/hyperlink" Target="https://www.google.com/maps/@-7.702959,110.249230,18z/data=!3m1!1e3" TargetMode="External"/><Relationship Id="rId5" Type="http://schemas.openxmlformats.org/officeDocument/2006/relationships/hyperlink" Target="https://www.google.com/maps/@-7.860639,110.167767,18z/data=!3m1!1e3" TargetMode="External"/><Relationship Id="rId15" Type="http://schemas.openxmlformats.org/officeDocument/2006/relationships/hyperlink" Target="https://www.google.com/maps/@-7.783270,110.149330,18z/data=!3m1!1e3" TargetMode="External"/><Relationship Id="rId23" Type="http://schemas.openxmlformats.org/officeDocument/2006/relationships/hyperlink" Target="https://www.google.com/maps/@-7.789598,110.147503,18z/data=!3m1!1e3" TargetMode="External"/><Relationship Id="rId28" Type="http://schemas.openxmlformats.org/officeDocument/2006/relationships/hyperlink" Target="https://www.google.com/maps/@-7.900833,110.140927,18z/data=!3m1!1e3" TargetMode="External"/><Relationship Id="rId10" Type="http://schemas.openxmlformats.org/officeDocument/2006/relationships/hyperlink" Target="https://www.google.com/maps/@-7.910756,110.128206,18z/data=!3m1!1e3" TargetMode="External"/><Relationship Id="rId19" Type="http://schemas.openxmlformats.org/officeDocument/2006/relationships/hyperlink" Target="https://www.google.com/maps/@-7.821181,110.112068,18z/data=!3m1!1e3" TargetMode="External"/><Relationship Id="rId4" Type="http://schemas.openxmlformats.org/officeDocument/2006/relationships/hyperlink" Target="https://www.google.com/maps/@-7.871905,110.148016,18z/data=!3m1!1e3" TargetMode="External"/><Relationship Id="rId9" Type="http://schemas.openxmlformats.org/officeDocument/2006/relationships/hyperlink" Target="https://www.google.com/maps/@-7.895528,110.057484,18z/data=!3m1!1e3" TargetMode="External"/><Relationship Id="rId14" Type="http://schemas.openxmlformats.org/officeDocument/2006/relationships/hyperlink" Target="https://www.google.com/maps/@-7.909289,110.076956,18z/data=!3m1!1e3" TargetMode="External"/><Relationship Id="rId22" Type="http://schemas.openxmlformats.org/officeDocument/2006/relationships/hyperlink" Target="https://www.google.com/maps/@-7.813941,110.110270,18z/data=!3m1!1e3" TargetMode="External"/><Relationship Id="rId27" Type="http://schemas.openxmlformats.org/officeDocument/2006/relationships/hyperlink" Target="https://www.google.com/maps/@-7.691095,110.191222,18z/data=!3m1!1e3" TargetMode="External"/><Relationship Id="rId30" Type="http://schemas.openxmlformats.org/officeDocument/2006/relationships/hyperlink" Target="https://www.google.com/maps/@-7.923576,110.207105,18z/data=!3m1!1e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65"/>
  <sheetViews>
    <sheetView tabSelected="1" zoomScale="70" zoomScaleNormal="70" workbookViewId="0">
      <pane xSplit="4" ySplit="1" topLeftCell="R249" activePane="bottomRight" state="frozen"/>
      <selection pane="topRight"/>
      <selection pane="bottomLeft"/>
      <selection pane="bottomRight" activeCell="U264" sqref="U264"/>
    </sheetView>
  </sheetViews>
  <sheetFormatPr defaultRowHeight="14.4" x14ac:dyDescent="0.3"/>
  <cols>
    <col min="1" max="1" width="12" customWidth="1"/>
    <col min="2" max="2" width="16" customWidth="1"/>
    <col min="3" max="4" width="12" customWidth="1"/>
    <col min="5" max="8" width="16" customWidth="1"/>
    <col min="9" max="10" width="12" customWidth="1"/>
    <col min="11" max="11" width="19" customWidth="1"/>
    <col min="12" max="12" width="20" customWidth="1"/>
    <col min="13" max="13" width="12" customWidth="1"/>
    <col min="14" max="14" width="31" customWidth="1"/>
    <col min="15" max="15" width="19" customWidth="1"/>
    <col min="16" max="16" width="38" customWidth="1"/>
    <col min="17" max="17" width="40" customWidth="1"/>
    <col min="18" max="18" width="24" customWidth="1"/>
    <col min="19" max="19" width="19" customWidth="1"/>
    <col min="20" max="20" width="12" customWidth="1"/>
    <col min="21" max="21" width="14" customWidth="1"/>
    <col min="22" max="22" width="17" customWidth="1"/>
    <col min="23" max="23" width="12" customWidth="1"/>
    <col min="24" max="24" width="16" customWidth="1"/>
    <col min="25" max="25" width="19" customWidth="1"/>
    <col min="26" max="26" width="12" customWidth="1"/>
  </cols>
  <sheetData>
    <row r="1" spans="1:26"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x14ac:dyDescent="0.3">
      <c r="A2">
        <v>256</v>
      </c>
      <c r="B2" t="s">
        <v>26</v>
      </c>
      <c r="C2" t="s">
        <v>27</v>
      </c>
      <c r="D2" t="s">
        <v>28</v>
      </c>
      <c r="E2">
        <v>-7.8836539999999999</v>
      </c>
      <c r="F2">
        <v>110.14368399999999</v>
      </c>
      <c r="G2" t="s">
        <v>29</v>
      </c>
      <c r="H2" t="s">
        <v>30</v>
      </c>
      <c r="I2">
        <v>-7.8829830000000003</v>
      </c>
      <c r="J2">
        <v>110.14139</v>
      </c>
      <c r="K2">
        <v>3.294</v>
      </c>
      <c r="L2">
        <v>34.774000000000001</v>
      </c>
      <c r="M2">
        <v>10.555300000000001</v>
      </c>
      <c r="N2" t="s">
        <v>31</v>
      </c>
      <c r="R2" s="2" t="s">
        <v>32</v>
      </c>
      <c r="S2" s="2" t="s">
        <v>33</v>
      </c>
      <c r="T2" s="2" t="s">
        <v>34</v>
      </c>
      <c r="U2" s="3" t="s">
        <v>35</v>
      </c>
      <c r="V2" s="3"/>
      <c r="W2" t="str">
        <f t="shared" ref="W2:W65" si="0">IF(LEFT(U2,1)="","",IF(ISNUMBER(SEARCH(LEFT(U2,1),"ABCDG")),"Y",IF(ISNUMBER(SEARCH(LEFT(U2,1),"EFH")),"T",IF(LEFT(U2,1)="I","cek",""))))</f>
        <v>Y</v>
      </c>
      <c r="X2" s="3" t="s">
        <v>36</v>
      </c>
      <c r="Y2" s="3" t="s">
        <v>37</v>
      </c>
      <c r="Z2" s="3"/>
    </row>
    <row r="3" spans="1:26" x14ac:dyDescent="0.3">
      <c r="A3">
        <v>712</v>
      </c>
      <c r="B3" t="s">
        <v>38</v>
      </c>
      <c r="C3" t="s">
        <v>27</v>
      </c>
      <c r="D3" t="s">
        <v>28</v>
      </c>
      <c r="E3">
        <v>-7.8800400000000002</v>
      </c>
      <c r="F3">
        <v>110.145505</v>
      </c>
      <c r="G3" t="s">
        <v>39</v>
      </c>
      <c r="H3" t="s">
        <v>40</v>
      </c>
      <c r="I3">
        <v>-7.8802320000000003</v>
      </c>
      <c r="J3">
        <v>110.142826</v>
      </c>
      <c r="K3">
        <v>3.7010000000000001</v>
      </c>
      <c r="L3">
        <v>43.186</v>
      </c>
      <c r="M3">
        <v>11.6686</v>
      </c>
      <c r="N3" t="s">
        <v>31</v>
      </c>
      <c r="R3" s="2" t="s">
        <v>41</v>
      </c>
      <c r="S3" s="2" t="s">
        <v>42</v>
      </c>
      <c r="T3" s="2" t="s">
        <v>43</v>
      </c>
      <c r="U3" s="3" t="s">
        <v>35</v>
      </c>
      <c r="V3" s="3"/>
      <c r="W3" t="str">
        <f t="shared" si="0"/>
        <v>Y</v>
      </c>
      <c r="X3" s="3" t="s">
        <v>36</v>
      </c>
      <c r="Y3" s="3" t="s">
        <v>37</v>
      </c>
      <c r="Z3" s="3"/>
    </row>
    <row r="4" spans="1:26" x14ac:dyDescent="0.3">
      <c r="A4">
        <v>1152</v>
      </c>
      <c r="B4" t="s">
        <v>44</v>
      </c>
      <c r="C4" t="s">
        <v>27</v>
      </c>
      <c r="D4" t="s">
        <v>45</v>
      </c>
      <c r="E4">
        <v>-7.896115</v>
      </c>
      <c r="F4">
        <v>110.05022599999999</v>
      </c>
      <c r="G4" t="s">
        <v>46</v>
      </c>
      <c r="H4" t="s">
        <v>40</v>
      </c>
      <c r="I4">
        <v>-7.8935930000000001</v>
      </c>
      <c r="J4">
        <v>110.052037</v>
      </c>
      <c r="K4">
        <v>4.2869999999999999</v>
      </c>
      <c r="L4">
        <v>54.180999999999997</v>
      </c>
      <c r="M4">
        <v>12.6395</v>
      </c>
      <c r="N4" t="s">
        <v>31</v>
      </c>
      <c r="R4" s="2" t="s">
        <v>47</v>
      </c>
      <c r="S4" s="2" t="s">
        <v>48</v>
      </c>
      <c r="T4" s="2" t="s">
        <v>49</v>
      </c>
      <c r="U4" s="3" t="s">
        <v>157</v>
      </c>
      <c r="V4" s="3"/>
      <c r="W4" t="str">
        <f t="shared" si="0"/>
        <v>Y</v>
      </c>
      <c r="X4" s="3" t="s">
        <v>50</v>
      </c>
      <c r="Y4" s="3"/>
      <c r="Z4" s="3" t="s">
        <v>51</v>
      </c>
    </row>
    <row r="5" spans="1:26" x14ac:dyDescent="0.3">
      <c r="A5">
        <v>1198</v>
      </c>
      <c r="B5" t="s">
        <v>52</v>
      </c>
      <c r="C5" t="s">
        <v>27</v>
      </c>
      <c r="D5" t="s">
        <v>53</v>
      </c>
      <c r="E5">
        <v>-7.9043020000000004</v>
      </c>
      <c r="F5">
        <v>110.071071</v>
      </c>
      <c r="G5" t="s">
        <v>54</v>
      </c>
      <c r="H5" t="s">
        <v>55</v>
      </c>
      <c r="I5">
        <v>-7.9031770000000003</v>
      </c>
      <c r="J5">
        <v>110.07283099999999</v>
      </c>
      <c r="K5">
        <v>2.8809999999999998</v>
      </c>
      <c r="L5">
        <v>67.498000000000005</v>
      </c>
      <c r="M5">
        <v>23.431000000000001</v>
      </c>
      <c r="N5" t="s">
        <v>31</v>
      </c>
      <c r="R5" s="2" t="s">
        <v>56</v>
      </c>
      <c r="S5" s="2" t="s">
        <v>57</v>
      </c>
      <c r="T5" s="2" t="s">
        <v>58</v>
      </c>
      <c r="U5" s="3" t="s">
        <v>157</v>
      </c>
      <c r="V5" s="3"/>
      <c r="W5" t="str">
        <f t="shared" si="0"/>
        <v>Y</v>
      </c>
      <c r="X5" s="3" t="s">
        <v>50</v>
      </c>
      <c r="Y5" s="3"/>
      <c r="Z5" s="3"/>
    </row>
    <row r="6" spans="1:26" x14ac:dyDescent="0.3">
      <c r="A6">
        <v>3043</v>
      </c>
      <c r="B6" t="s">
        <v>59</v>
      </c>
      <c r="C6" t="s">
        <v>27</v>
      </c>
      <c r="D6" t="s">
        <v>60</v>
      </c>
      <c r="E6">
        <v>-7.8728119999999997</v>
      </c>
      <c r="F6">
        <v>110.149148</v>
      </c>
      <c r="G6" t="s">
        <v>61</v>
      </c>
      <c r="H6" t="s">
        <v>30</v>
      </c>
      <c r="I6">
        <v>-7.872052</v>
      </c>
      <c r="J6">
        <v>110.15073</v>
      </c>
      <c r="K6">
        <v>2.419</v>
      </c>
      <c r="L6">
        <v>31.497</v>
      </c>
      <c r="M6">
        <v>13.019399999999999</v>
      </c>
      <c r="N6" t="s">
        <v>31</v>
      </c>
      <c r="R6" s="2" t="s">
        <v>62</v>
      </c>
      <c r="S6" s="2" t="s">
        <v>63</v>
      </c>
      <c r="T6" s="2" t="s">
        <v>64</v>
      </c>
      <c r="U6" s="3" t="s">
        <v>35</v>
      </c>
      <c r="V6" s="3"/>
      <c r="W6" t="str">
        <f t="shared" si="0"/>
        <v>Y</v>
      </c>
      <c r="X6" s="3" t="s">
        <v>36</v>
      </c>
      <c r="Y6" s="3" t="s">
        <v>37</v>
      </c>
      <c r="Z6" s="3"/>
    </row>
    <row r="7" spans="1:26" x14ac:dyDescent="0.3">
      <c r="A7">
        <v>3083</v>
      </c>
      <c r="B7" t="s">
        <v>65</v>
      </c>
      <c r="C7" t="s">
        <v>27</v>
      </c>
      <c r="D7" t="s">
        <v>66</v>
      </c>
      <c r="E7">
        <v>-7.8267150000000001</v>
      </c>
      <c r="F7">
        <v>110.164661</v>
      </c>
      <c r="G7" t="s">
        <v>67</v>
      </c>
      <c r="H7" t="s">
        <v>68</v>
      </c>
      <c r="I7">
        <v>-7.8266489999999997</v>
      </c>
      <c r="J7">
        <v>110.161965</v>
      </c>
      <c r="K7">
        <v>3.7160000000000002</v>
      </c>
      <c r="L7">
        <v>40.463999999999999</v>
      </c>
      <c r="M7">
        <v>10.889099999999999</v>
      </c>
      <c r="N7" t="s">
        <v>31</v>
      </c>
      <c r="R7" s="2" t="s">
        <v>69</v>
      </c>
      <c r="S7" s="2" t="s">
        <v>70</v>
      </c>
      <c r="T7" s="2" t="s">
        <v>71</v>
      </c>
      <c r="U7" s="3" t="s">
        <v>35</v>
      </c>
      <c r="V7" s="3"/>
      <c r="W7" t="str">
        <f t="shared" si="0"/>
        <v>Y</v>
      </c>
      <c r="X7" s="3" t="s">
        <v>36</v>
      </c>
      <c r="Y7" s="3" t="s">
        <v>72</v>
      </c>
      <c r="Z7" s="3"/>
    </row>
    <row r="8" spans="1:26" x14ac:dyDescent="0.3">
      <c r="A8">
        <v>4254</v>
      </c>
      <c r="B8" t="s">
        <v>73</v>
      </c>
      <c r="C8" t="s">
        <v>27</v>
      </c>
      <c r="D8" t="s">
        <v>74</v>
      </c>
      <c r="E8">
        <v>-7.8592849999999999</v>
      </c>
      <c r="F8">
        <v>110.16913099999999</v>
      </c>
      <c r="G8" t="s">
        <v>75</v>
      </c>
      <c r="H8" t="s">
        <v>68</v>
      </c>
      <c r="I8">
        <v>-7.8579439999999998</v>
      </c>
      <c r="J8">
        <v>110.17154600000001</v>
      </c>
      <c r="K8">
        <v>3.81</v>
      </c>
      <c r="L8">
        <v>30.111000000000001</v>
      </c>
      <c r="M8">
        <v>7.9038000000000004</v>
      </c>
      <c r="N8" t="s">
        <v>31</v>
      </c>
      <c r="R8" s="2" t="s">
        <v>76</v>
      </c>
      <c r="S8" s="2" t="s">
        <v>77</v>
      </c>
      <c r="T8" s="2" t="s">
        <v>78</v>
      </c>
      <c r="U8" s="3" t="s">
        <v>152</v>
      </c>
      <c r="V8" s="3"/>
      <c r="W8" t="str">
        <f t="shared" si="0"/>
        <v>T</v>
      </c>
      <c r="X8" s="3" t="s">
        <v>50</v>
      </c>
      <c r="Y8" s="3"/>
      <c r="Z8" s="3"/>
    </row>
    <row r="9" spans="1:26" x14ac:dyDescent="0.3">
      <c r="A9">
        <v>4484</v>
      </c>
      <c r="B9" t="s">
        <v>79</v>
      </c>
      <c r="C9" t="s">
        <v>27</v>
      </c>
      <c r="D9" t="s">
        <v>80</v>
      </c>
      <c r="E9">
        <v>-7.8221759999999998</v>
      </c>
      <c r="F9">
        <v>110.156507</v>
      </c>
      <c r="G9" t="s">
        <v>81</v>
      </c>
      <c r="H9" t="s">
        <v>30</v>
      </c>
      <c r="I9">
        <v>-7.8249680000000001</v>
      </c>
      <c r="J9">
        <v>110.154332</v>
      </c>
      <c r="K9">
        <v>4.8860000000000001</v>
      </c>
      <c r="L9">
        <v>31.347000000000001</v>
      </c>
      <c r="M9">
        <v>6.4153000000000002</v>
      </c>
      <c r="N9" t="s">
        <v>31</v>
      </c>
      <c r="R9" s="2" t="s">
        <v>82</v>
      </c>
      <c r="S9" s="2" t="s">
        <v>83</v>
      </c>
      <c r="T9" s="2" t="s">
        <v>84</v>
      </c>
      <c r="U9" s="3" t="s">
        <v>35</v>
      </c>
      <c r="V9" s="3"/>
      <c r="W9" t="str">
        <f t="shared" si="0"/>
        <v>Y</v>
      </c>
      <c r="X9" s="3" t="s">
        <v>36</v>
      </c>
      <c r="Y9" s="3" t="s">
        <v>72</v>
      </c>
      <c r="Z9" s="3"/>
    </row>
    <row r="10" spans="1:26" x14ac:dyDescent="0.3">
      <c r="A10">
        <v>5481</v>
      </c>
      <c r="B10" t="s">
        <v>85</v>
      </c>
      <c r="C10" t="s">
        <v>27</v>
      </c>
      <c r="D10" t="s">
        <v>80</v>
      </c>
      <c r="E10">
        <v>-7.8221749999999997</v>
      </c>
      <c r="F10">
        <v>110.15560000000001</v>
      </c>
      <c r="G10" t="s">
        <v>81</v>
      </c>
      <c r="H10" t="s">
        <v>30</v>
      </c>
      <c r="I10">
        <v>-7.8249680000000001</v>
      </c>
      <c r="J10">
        <v>110.154332</v>
      </c>
      <c r="K10">
        <v>4.2380000000000004</v>
      </c>
      <c r="L10">
        <v>30.417000000000002</v>
      </c>
      <c r="M10">
        <v>7.1768999999999998</v>
      </c>
      <c r="N10" t="s">
        <v>31</v>
      </c>
      <c r="R10" s="2" t="s">
        <v>86</v>
      </c>
      <c r="S10" s="2" t="s">
        <v>83</v>
      </c>
      <c r="T10" s="2" t="s">
        <v>87</v>
      </c>
      <c r="U10" s="3" t="s">
        <v>35</v>
      </c>
      <c r="V10" s="3"/>
      <c r="W10" t="str">
        <f t="shared" si="0"/>
        <v>Y</v>
      </c>
      <c r="X10" s="3" t="s">
        <v>36</v>
      </c>
      <c r="Y10" s="3" t="s">
        <v>72</v>
      </c>
      <c r="Z10" s="3"/>
    </row>
    <row r="11" spans="1:26" x14ac:dyDescent="0.3">
      <c r="A11">
        <v>6084</v>
      </c>
      <c r="B11" t="s">
        <v>88</v>
      </c>
      <c r="C11" t="s">
        <v>27</v>
      </c>
      <c r="D11" t="s">
        <v>60</v>
      </c>
      <c r="E11">
        <v>-7.8719049999999999</v>
      </c>
      <c r="F11">
        <v>110.14824299999999</v>
      </c>
      <c r="G11" t="s">
        <v>61</v>
      </c>
      <c r="H11" t="s">
        <v>30</v>
      </c>
      <c r="I11">
        <v>-7.872052</v>
      </c>
      <c r="J11">
        <v>110.15073</v>
      </c>
      <c r="K11">
        <v>3.4329999999999998</v>
      </c>
      <c r="L11">
        <v>30.253</v>
      </c>
      <c r="M11">
        <v>8.8123000000000005</v>
      </c>
      <c r="N11" t="s">
        <v>31</v>
      </c>
      <c r="R11" s="2" t="s">
        <v>89</v>
      </c>
      <c r="S11" s="2" t="s">
        <v>63</v>
      </c>
      <c r="T11" s="2" t="s">
        <v>90</v>
      </c>
      <c r="U11" s="3" t="s">
        <v>35</v>
      </c>
      <c r="V11" s="3"/>
      <c r="W11" t="str">
        <f t="shared" si="0"/>
        <v>Y</v>
      </c>
      <c r="X11" s="3" t="s">
        <v>36</v>
      </c>
      <c r="Y11" s="3" t="s">
        <v>37</v>
      </c>
      <c r="Z11" s="3"/>
    </row>
    <row r="12" spans="1:26" x14ac:dyDescent="0.3">
      <c r="A12">
        <v>6480</v>
      </c>
      <c r="B12" t="s">
        <v>91</v>
      </c>
      <c r="C12" t="s">
        <v>27</v>
      </c>
      <c r="D12" t="s">
        <v>28</v>
      </c>
      <c r="E12">
        <v>-7.8773249999999999</v>
      </c>
      <c r="F12">
        <v>110.144604</v>
      </c>
      <c r="G12" t="s">
        <v>39</v>
      </c>
      <c r="H12" t="s">
        <v>40</v>
      </c>
      <c r="I12">
        <v>-7.8802320000000003</v>
      </c>
      <c r="J12">
        <v>110.142826</v>
      </c>
      <c r="K12">
        <v>4.7050000000000001</v>
      </c>
      <c r="L12">
        <v>49.046999999999997</v>
      </c>
      <c r="M12">
        <v>10.423999999999999</v>
      </c>
      <c r="N12" t="s">
        <v>31</v>
      </c>
      <c r="R12" s="2" t="s">
        <v>92</v>
      </c>
      <c r="S12" s="2" t="s">
        <v>42</v>
      </c>
      <c r="T12" s="2" t="s">
        <v>93</v>
      </c>
      <c r="U12" s="3" t="s">
        <v>35</v>
      </c>
      <c r="V12" s="3"/>
      <c r="W12" t="str">
        <f t="shared" si="0"/>
        <v>Y</v>
      </c>
      <c r="X12" s="3" t="s">
        <v>36</v>
      </c>
      <c r="Y12" s="3" t="s">
        <v>37</v>
      </c>
      <c r="Z12" s="3"/>
    </row>
    <row r="13" spans="1:26" x14ac:dyDescent="0.3">
      <c r="A13">
        <v>6528</v>
      </c>
      <c r="B13" t="s">
        <v>94</v>
      </c>
      <c r="C13" t="s">
        <v>27</v>
      </c>
      <c r="D13" t="s">
        <v>74</v>
      </c>
      <c r="E13">
        <v>-7.861993</v>
      </c>
      <c r="F13">
        <v>110.166404</v>
      </c>
      <c r="G13" t="s">
        <v>95</v>
      </c>
      <c r="H13" t="s">
        <v>40</v>
      </c>
      <c r="I13">
        <v>-7.8589969999999996</v>
      </c>
      <c r="J13">
        <v>110.165148</v>
      </c>
      <c r="K13">
        <v>4.4880000000000004</v>
      </c>
      <c r="L13">
        <v>31.015000000000001</v>
      </c>
      <c r="M13">
        <v>6.9104999999999999</v>
      </c>
      <c r="N13" t="s">
        <v>31</v>
      </c>
      <c r="R13" s="2" t="s">
        <v>96</v>
      </c>
      <c r="S13" s="2" t="s">
        <v>97</v>
      </c>
      <c r="T13" s="2" t="s">
        <v>98</v>
      </c>
      <c r="U13" s="3" t="s">
        <v>35</v>
      </c>
      <c r="V13" s="3"/>
      <c r="W13" t="str">
        <f t="shared" si="0"/>
        <v>Y</v>
      </c>
      <c r="X13" s="3" t="s">
        <v>36</v>
      </c>
      <c r="Y13" s="3" t="s">
        <v>37</v>
      </c>
      <c r="Z13" s="3"/>
    </row>
    <row r="14" spans="1:26" x14ac:dyDescent="0.3">
      <c r="A14">
        <v>7232</v>
      </c>
      <c r="B14" t="s">
        <v>99</v>
      </c>
      <c r="C14" t="s">
        <v>27</v>
      </c>
      <c r="D14" t="s">
        <v>60</v>
      </c>
      <c r="E14">
        <v>-7.8709990000000003</v>
      </c>
      <c r="F14">
        <v>110.147338</v>
      </c>
      <c r="G14" t="s">
        <v>61</v>
      </c>
      <c r="H14" t="s">
        <v>30</v>
      </c>
      <c r="I14">
        <v>-7.872052</v>
      </c>
      <c r="J14">
        <v>110.15073</v>
      </c>
      <c r="K14">
        <v>4.8959999999999999</v>
      </c>
      <c r="L14">
        <v>30.213999999999999</v>
      </c>
      <c r="M14">
        <v>6.1714000000000002</v>
      </c>
      <c r="N14" t="s">
        <v>31</v>
      </c>
      <c r="R14" s="2" t="s">
        <v>100</v>
      </c>
      <c r="S14" s="2" t="s">
        <v>63</v>
      </c>
      <c r="T14" s="2" t="s">
        <v>101</v>
      </c>
      <c r="U14" s="3" t="s">
        <v>35</v>
      </c>
      <c r="V14" s="3"/>
      <c r="W14" t="str">
        <f t="shared" si="0"/>
        <v>Y</v>
      </c>
      <c r="X14" s="3" t="s">
        <v>36</v>
      </c>
      <c r="Y14" s="3" t="s">
        <v>37</v>
      </c>
      <c r="Z14" s="3"/>
    </row>
    <row r="15" spans="1:26" x14ac:dyDescent="0.3">
      <c r="A15">
        <v>7393</v>
      </c>
      <c r="B15" t="s">
        <v>102</v>
      </c>
      <c r="C15" t="s">
        <v>27</v>
      </c>
      <c r="D15" t="s">
        <v>80</v>
      </c>
      <c r="E15">
        <v>-7.8230789999999999</v>
      </c>
      <c r="F15">
        <v>110.155598</v>
      </c>
      <c r="G15" t="s">
        <v>81</v>
      </c>
      <c r="H15" t="s">
        <v>30</v>
      </c>
      <c r="I15">
        <v>-7.8249680000000001</v>
      </c>
      <c r="J15">
        <v>110.154332</v>
      </c>
      <c r="K15">
        <v>3.141</v>
      </c>
      <c r="L15">
        <v>31.491</v>
      </c>
      <c r="M15">
        <v>10.0267</v>
      </c>
      <c r="N15" t="s">
        <v>31</v>
      </c>
      <c r="R15" s="2" t="s">
        <v>103</v>
      </c>
      <c r="S15" s="2" t="s">
        <v>83</v>
      </c>
      <c r="T15" s="2" t="s">
        <v>104</v>
      </c>
      <c r="U15" s="3" t="s">
        <v>35</v>
      </c>
      <c r="V15" s="3"/>
      <c r="W15" t="str">
        <f t="shared" si="0"/>
        <v>Y</v>
      </c>
      <c r="X15" s="3" t="s">
        <v>36</v>
      </c>
      <c r="Y15" s="3" t="s">
        <v>72</v>
      </c>
      <c r="Z15" s="3"/>
    </row>
    <row r="16" spans="1:26" x14ac:dyDescent="0.3">
      <c r="A16">
        <v>7644</v>
      </c>
      <c r="B16" t="s">
        <v>105</v>
      </c>
      <c r="C16" t="s">
        <v>27</v>
      </c>
      <c r="D16" t="s">
        <v>74</v>
      </c>
      <c r="E16">
        <v>-7.8610899999999999</v>
      </c>
      <c r="F16">
        <v>110.16731299999999</v>
      </c>
      <c r="G16" t="s">
        <v>95</v>
      </c>
      <c r="H16" t="s">
        <v>40</v>
      </c>
      <c r="I16">
        <v>-7.8589969999999996</v>
      </c>
      <c r="J16">
        <v>110.165148</v>
      </c>
      <c r="K16">
        <v>4.1559999999999997</v>
      </c>
      <c r="L16">
        <v>31.181000000000001</v>
      </c>
      <c r="M16">
        <v>7.5019999999999998</v>
      </c>
      <c r="N16" t="s">
        <v>31</v>
      </c>
      <c r="R16" s="2" t="s">
        <v>106</v>
      </c>
      <c r="S16" s="2" t="s">
        <v>97</v>
      </c>
      <c r="T16" s="2" t="s">
        <v>107</v>
      </c>
      <c r="U16" s="3" t="s">
        <v>35</v>
      </c>
      <c r="V16" s="3"/>
      <c r="W16" t="str">
        <f t="shared" si="0"/>
        <v>Y</v>
      </c>
      <c r="X16" s="3" t="s">
        <v>36</v>
      </c>
      <c r="Y16" s="3" t="s">
        <v>37</v>
      </c>
      <c r="Z16" s="3"/>
    </row>
    <row r="17" spans="1:26" x14ac:dyDescent="0.3">
      <c r="A17">
        <v>7834</v>
      </c>
      <c r="B17" t="s">
        <v>108</v>
      </c>
      <c r="C17" t="s">
        <v>27</v>
      </c>
      <c r="D17" t="s">
        <v>109</v>
      </c>
      <c r="E17">
        <v>-7.766114</v>
      </c>
      <c r="F17">
        <v>110.16387400000001</v>
      </c>
      <c r="G17" t="s">
        <v>110</v>
      </c>
      <c r="H17" t="s">
        <v>40</v>
      </c>
      <c r="I17">
        <v>-7.7644149999999996</v>
      </c>
      <c r="J17">
        <v>110.16632300000001</v>
      </c>
      <c r="K17">
        <v>4.1120000000000001</v>
      </c>
      <c r="L17">
        <v>73.260000000000005</v>
      </c>
      <c r="M17">
        <v>17.816600000000001</v>
      </c>
      <c r="N17" t="s">
        <v>31</v>
      </c>
      <c r="R17" s="2" t="s">
        <v>111</v>
      </c>
      <c r="S17" s="2" t="s">
        <v>112</v>
      </c>
      <c r="T17" s="2" t="s">
        <v>113</v>
      </c>
      <c r="U17" s="3" t="s">
        <v>114</v>
      </c>
      <c r="V17" s="3" t="s">
        <v>115</v>
      </c>
      <c r="W17" t="str">
        <f t="shared" si="0"/>
        <v>Y</v>
      </c>
      <c r="X17" s="3" t="s">
        <v>36</v>
      </c>
      <c r="Y17" s="3" t="s">
        <v>116</v>
      </c>
      <c r="Z17" s="3" t="s">
        <v>117</v>
      </c>
    </row>
    <row r="18" spans="1:26" x14ac:dyDescent="0.3">
      <c r="A18">
        <v>7857</v>
      </c>
      <c r="B18" t="s">
        <v>118</v>
      </c>
      <c r="C18" t="s">
        <v>27</v>
      </c>
      <c r="D18" t="s">
        <v>60</v>
      </c>
      <c r="E18">
        <v>-7.8719039999999998</v>
      </c>
      <c r="F18">
        <v>110.147336</v>
      </c>
      <c r="G18" t="s">
        <v>61</v>
      </c>
      <c r="H18" t="s">
        <v>30</v>
      </c>
      <c r="I18">
        <v>-7.872052</v>
      </c>
      <c r="J18">
        <v>110.15073</v>
      </c>
      <c r="K18">
        <v>4.6820000000000004</v>
      </c>
      <c r="L18">
        <v>31.312000000000001</v>
      </c>
      <c r="M18">
        <v>6.6883999999999997</v>
      </c>
      <c r="N18" t="s">
        <v>31</v>
      </c>
      <c r="R18" s="2" t="s">
        <v>119</v>
      </c>
      <c r="S18" s="2" t="s">
        <v>63</v>
      </c>
      <c r="T18" s="2" t="s">
        <v>120</v>
      </c>
      <c r="U18" s="3" t="s">
        <v>35</v>
      </c>
      <c r="V18" s="3"/>
      <c r="W18" t="str">
        <f t="shared" si="0"/>
        <v>Y</v>
      </c>
      <c r="X18" s="3" t="s">
        <v>36</v>
      </c>
      <c r="Y18" s="3" t="s">
        <v>37</v>
      </c>
      <c r="Z18" s="3"/>
    </row>
    <row r="19" spans="1:26" x14ac:dyDescent="0.3">
      <c r="A19">
        <v>8286</v>
      </c>
      <c r="B19" t="s">
        <v>121</v>
      </c>
      <c r="C19" t="s">
        <v>27</v>
      </c>
      <c r="D19" t="s">
        <v>122</v>
      </c>
      <c r="E19">
        <v>-7.8439199999999998</v>
      </c>
      <c r="F19">
        <v>110.174604</v>
      </c>
      <c r="G19" t="s">
        <v>123</v>
      </c>
      <c r="H19" t="s">
        <v>40</v>
      </c>
      <c r="I19">
        <v>-7.8453580000000001</v>
      </c>
      <c r="J19">
        <v>110.17232</v>
      </c>
      <c r="K19">
        <v>3.7229999999999999</v>
      </c>
      <c r="L19">
        <v>30.913</v>
      </c>
      <c r="M19">
        <v>8.3030000000000008</v>
      </c>
      <c r="N19" t="s">
        <v>31</v>
      </c>
      <c r="R19" s="2" t="s">
        <v>124</v>
      </c>
      <c r="S19" s="2" t="s">
        <v>125</v>
      </c>
      <c r="T19" s="2" t="s">
        <v>126</v>
      </c>
      <c r="U19" s="3" t="s">
        <v>35</v>
      </c>
      <c r="V19" s="3"/>
      <c r="W19" t="str">
        <f t="shared" si="0"/>
        <v>Y</v>
      </c>
      <c r="X19" s="3" t="s">
        <v>36</v>
      </c>
      <c r="Y19" s="3" t="s">
        <v>37</v>
      </c>
      <c r="Z19" s="3"/>
    </row>
    <row r="20" spans="1:26" x14ac:dyDescent="0.3">
      <c r="A20">
        <v>8538</v>
      </c>
      <c r="B20" t="s">
        <v>127</v>
      </c>
      <c r="C20" t="s">
        <v>27</v>
      </c>
      <c r="D20" t="s">
        <v>28</v>
      </c>
      <c r="E20">
        <v>-7.8800379999999999</v>
      </c>
      <c r="F20">
        <v>110.144598</v>
      </c>
      <c r="G20" t="s">
        <v>39</v>
      </c>
      <c r="H20" t="s">
        <v>40</v>
      </c>
      <c r="I20">
        <v>-7.8802320000000003</v>
      </c>
      <c r="J20">
        <v>110.142826</v>
      </c>
      <c r="K20">
        <v>2.456</v>
      </c>
      <c r="L20">
        <v>43.966999999999999</v>
      </c>
      <c r="M20">
        <v>17.900700000000001</v>
      </c>
      <c r="N20" t="s">
        <v>31</v>
      </c>
      <c r="R20" s="2" t="s">
        <v>128</v>
      </c>
      <c r="S20" s="2" t="s">
        <v>42</v>
      </c>
      <c r="T20" s="2" t="s">
        <v>129</v>
      </c>
      <c r="U20" s="3" t="s">
        <v>35</v>
      </c>
      <c r="V20" s="3"/>
      <c r="W20" t="str">
        <f t="shared" si="0"/>
        <v>Y</v>
      </c>
      <c r="X20" s="3" t="s">
        <v>36</v>
      </c>
      <c r="Y20" s="3" t="s">
        <v>37</v>
      </c>
      <c r="Z20" s="3"/>
    </row>
    <row r="21" spans="1:26" x14ac:dyDescent="0.3">
      <c r="A21">
        <v>8750</v>
      </c>
      <c r="B21" t="s">
        <v>130</v>
      </c>
      <c r="C21" t="s">
        <v>27</v>
      </c>
      <c r="D21" t="s">
        <v>131</v>
      </c>
      <c r="E21">
        <v>-7.7607280000000003</v>
      </c>
      <c r="F21">
        <v>110.184742</v>
      </c>
      <c r="G21" t="s">
        <v>132</v>
      </c>
      <c r="H21" t="s">
        <v>40</v>
      </c>
      <c r="I21">
        <v>-7.7579419999999999</v>
      </c>
      <c r="J21">
        <v>110.18624800000001</v>
      </c>
      <c r="K21">
        <v>4.3739999999999997</v>
      </c>
      <c r="L21">
        <v>53.478000000000002</v>
      </c>
      <c r="M21">
        <v>12.2272</v>
      </c>
      <c r="N21" t="s">
        <v>31</v>
      </c>
      <c r="R21" s="2" t="s">
        <v>133</v>
      </c>
      <c r="S21" s="2" t="s">
        <v>134</v>
      </c>
      <c r="T21" s="2" t="s">
        <v>135</v>
      </c>
      <c r="U21" s="3" t="s">
        <v>114</v>
      </c>
      <c r="V21" s="3" t="s">
        <v>115</v>
      </c>
      <c r="W21" t="str">
        <f t="shared" si="0"/>
        <v>Y</v>
      </c>
      <c r="X21" s="3" t="s">
        <v>36</v>
      </c>
      <c r="Y21" s="3" t="s">
        <v>136</v>
      </c>
      <c r="Z21" s="3" t="s">
        <v>117</v>
      </c>
    </row>
    <row r="22" spans="1:26" x14ac:dyDescent="0.3">
      <c r="A22">
        <v>8934</v>
      </c>
      <c r="B22" t="s">
        <v>137</v>
      </c>
      <c r="C22" t="s">
        <v>27</v>
      </c>
      <c r="D22" t="s">
        <v>28</v>
      </c>
      <c r="E22">
        <v>-7.8809430000000003</v>
      </c>
      <c r="F22">
        <v>110.14459600000001</v>
      </c>
      <c r="G22" t="s">
        <v>39</v>
      </c>
      <c r="H22" t="s">
        <v>40</v>
      </c>
      <c r="I22">
        <v>-7.8802320000000003</v>
      </c>
      <c r="J22">
        <v>110.142826</v>
      </c>
      <c r="K22">
        <v>2.629</v>
      </c>
      <c r="L22">
        <v>42.805</v>
      </c>
      <c r="M22">
        <v>16.2789</v>
      </c>
      <c r="N22" t="s">
        <v>31</v>
      </c>
      <c r="R22" s="2" t="s">
        <v>138</v>
      </c>
      <c r="S22" s="2" t="s">
        <v>42</v>
      </c>
      <c r="T22" s="2" t="s">
        <v>139</v>
      </c>
      <c r="U22" s="3" t="s">
        <v>35</v>
      </c>
      <c r="V22" s="3"/>
      <c r="W22" t="str">
        <f t="shared" si="0"/>
        <v>Y</v>
      </c>
      <c r="X22" s="3" t="s">
        <v>36</v>
      </c>
      <c r="Y22" s="3" t="s">
        <v>37</v>
      </c>
      <c r="Z22" s="3"/>
    </row>
    <row r="23" spans="1:26" x14ac:dyDescent="0.3">
      <c r="A23">
        <v>8955</v>
      </c>
      <c r="B23" t="s">
        <v>140</v>
      </c>
      <c r="C23" t="s">
        <v>27</v>
      </c>
      <c r="D23" t="s">
        <v>74</v>
      </c>
      <c r="E23">
        <v>-7.8601869999999998</v>
      </c>
      <c r="F23">
        <v>110.168222</v>
      </c>
      <c r="G23" t="s">
        <v>95</v>
      </c>
      <c r="H23" t="s">
        <v>40</v>
      </c>
      <c r="I23">
        <v>-7.8589969999999996</v>
      </c>
      <c r="J23">
        <v>110.165148</v>
      </c>
      <c r="K23">
        <v>4.5449999999999999</v>
      </c>
      <c r="L23">
        <v>33.823</v>
      </c>
      <c r="M23">
        <v>7.4417</v>
      </c>
      <c r="N23" t="s">
        <v>31</v>
      </c>
      <c r="R23" s="2" t="s">
        <v>141</v>
      </c>
      <c r="S23" s="2" t="s">
        <v>97</v>
      </c>
      <c r="T23" s="2" t="s">
        <v>142</v>
      </c>
      <c r="U23" s="3" t="s">
        <v>35</v>
      </c>
      <c r="V23" s="3"/>
      <c r="W23" t="str">
        <f t="shared" si="0"/>
        <v>Y</v>
      </c>
      <c r="X23" s="3" t="s">
        <v>36</v>
      </c>
      <c r="Y23" s="3" t="s">
        <v>37</v>
      </c>
      <c r="Z23" s="3"/>
    </row>
    <row r="24" spans="1:26" x14ac:dyDescent="0.3">
      <c r="A24">
        <v>9061</v>
      </c>
      <c r="B24" t="s">
        <v>143</v>
      </c>
      <c r="C24" t="s">
        <v>27</v>
      </c>
      <c r="D24" t="s">
        <v>28</v>
      </c>
      <c r="E24">
        <v>-7.8791339999999996</v>
      </c>
      <c r="F24">
        <v>110.1446</v>
      </c>
      <c r="G24" t="s">
        <v>39</v>
      </c>
      <c r="H24" t="s">
        <v>40</v>
      </c>
      <c r="I24">
        <v>-7.8802320000000003</v>
      </c>
      <c r="J24">
        <v>110.142826</v>
      </c>
      <c r="K24">
        <v>2.8769999999999998</v>
      </c>
      <c r="L24">
        <v>45.734000000000002</v>
      </c>
      <c r="M24">
        <v>15.8972</v>
      </c>
      <c r="N24" t="s">
        <v>31</v>
      </c>
      <c r="R24" s="2" t="s">
        <v>144</v>
      </c>
      <c r="S24" s="2" t="s">
        <v>42</v>
      </c>
      <c r="T24" s="2" t="s">
        <v>145</v>
      </c>
      <c r="U24" s="3" t="s">
        <v>35</v>
      </c>
      <c r="V24" s="3"/>
      <c r="W24" t="str">
        <f t="shared" si="0"/>
        <v>Y</v>
      </c>
      <c r="X24" s="3" t="s">
        <v>36</v>
      </c>
      <c r="Y24" s="3" t="s">
        <v>37</v>
      </c>
      <c r="Z24" s="3"/>
    </row>
    <row r="25" spans="1:26" x14ac:dyDescent="0.3">
      <c r="A25">
        <v>9702</v>
      </c>
      <c r="B25" t="s">
        <v>146</v>
      </c>
      <c r="C25" t="s">
        <v>27</v>
      </c>
      <c r="D25" t="s">
        <v>147</v>
      </c>
      <c r="E25">
        <v>-7.8211810000000002</v>
      </c>
      <c r="F25">
        <v>110.11206799999999</v>
      </c>
      <c r="G25" t="s">
        <v>148</v>
      </c>
      <c r="H25" t="s">
        <v>40</v>
      </c>
      <c r="I25">
        <v>-7.819909</v>
      </c>
      <c r="J25">
        <v>110.112674</v>
      </c>
      <c r="K25">
        <v>1.9470000000000001</v>
      </c>
      <c r="L25">
        <v>33.704000000000001</v>
      </c>
      <c r="M25">
        <v>17.314</v>
      </c>
      <c r="N25" t="s">
        <v>31</v>
      </c>
      <c r="R25" s="2" t="s">
        <v>149</v>
      </c>
      <c r="S25" s="2" t="s">
        <v>150</v>
      </c>
      <c r="T25" s="2" t="s">
        <v>151</v>
      </c>
      <c r="U25" s="3" t="s">
        <v>152</v>
      </c>
      <c r="V25" s="3"/>
      <c r="W25" t="str">
        <f t="shared" si="0"/>
        <v>T</v>
      </c>
      <c r="X25" s="3" t="s">
        <v>36</v>
      </c>
      <c r="Y25" s="3"/>
      <c r="Z25" s="3" t="s">
        <v>153</v>
      </c>
    </row>
    <row r="26" spans="1:26" x14ac:dyDescent="0.3">
      <c r="A26">
        <v>10114</v>
      </c>
      <c r="B26" t="s">
        <v>154</v>
      </c>
      <c r="C26" t="s">
        <v>27</v>
      </c>
      <c r="D26" t="s">
        <v>45</v>
      </c>
      <c r="E26">
        <v>-7.8970209999999996</v>
      </c>
      <c r="F26">
        <v>110.051131</v>
      </c>
      <c r="G26" t="s">
        <v>46</v>
      </c>
      <c r="H26" t="s">
        <v>40</v>
      </c>
      <c r="I26">
        <v>-7.8935930000000001</v>
      </c>
      <c r="J26">
        <v>110.052037</v>
      </c>
      <c r="K26">
        <v>4.9000000000000004</v>
      </c>
      <c r="L26">
        <v>52.765000000000001</v>
      </c>
      <c r="M26">
        <v>10.7692</v>
      </c>
      <c r="N26" t="s">
        <v>31</v>
      </c>
      <c r="R26" s="2" t="s">
        <v>155</v>
      </c>
      <c r="S26" s="2" t="s">
        <v>48</v>
      </c>
      <c r="T26" s="2" t="s">
        <v>156</v>
      </c>
      <c r="U26" s="3" t="s">
        <v>157</v>
      </c>
      <c r="V26" s="3"/>
      <c r="W26" t="str">
        <f t="shared" si="0"/>
        <v>Y</v>
      </c>
      <c r="X26" s="3" t="s">
        <v>36</v>
      </c>
      <c r="Y26" s="3" t="s">
        <v>158</v>
      </c>
      <c r="Z26" s="3"/>
    </row>
    <row r="27" spans="1:26" x14ac:dyDescent="0.3">
      <c r="A27">
        <v>10293</v>
      </c>
      <c r="B27" t="s">
        <v>159</v>
      </c>
      <c r="C27" t="s">
        <v>27</v>
      </c>
      <c r="D27" t="s">
        <v>66</v>
      </c>
      <c r="E27">
        <v>-7.8258109999999999</v>
      </c>
      <c r="F27">
        <v>110.164663</v>
      </c>
      <c r="G27" t="s">
        <v>67</v>
      </c>
      <c r="H27" t="s">
        <v>68</v>
      </c>
      <c r="I27">
        <v>-7.8266489999999997</v>
      </c>
      <c r="J27">
        <v>110.161965</v>
      </c>
      <c r="K27">
        <v>3.8940000000000001</v>
      </c>
      <c r="L27">
        <v>43.121000000000002</v>
      </c>
      <c r="M27">
        <v>11.074299999999999</v>
      </c>
      <c r="N27" t="s">
        <v>31</v>
      </c>
      <c r="R27" s="2" t="s">
        <v>160</v>
      </c>
      <c r="S27" s="2" t="s">
        <v>70</v>
      </c>
      <c r="T27" s="2" t="s">
        <v>161</v>
      </c>
      <c r="U27" s="3" t="s">
        <v>35</v>
      </c>
      <c r="V27" s="3"/>
      <c r="W27" t="str">
        <f t="shared" si="0"/>
        <v>Y</v>
      </c>
      <c r="X27" s="3" t="s">
        <v>36</v>
      </c>
      <c r="Y27" s="3" t="s">
        <v>72</v>
      </c>
      <c r="Z27" s="3"/>
    </row>
    <row r="28" spans="1:26" x14ac:dyDescent="0.3">
      <c r="A28">
        <v>10545</v>
      </c>
      <c r="B28" t="s">
        <v>162</v>
      </c>
      <c r="C28" t="s">
        <v>27</v>
      </c>
      <c r="D28" t="s">
        <v>163</v>
      </c>
      <c r="E28">
        <v>-7.8031740000000003</v>
      </c>
      <c r="F28">
        <v>110.152011</v>
      </c>
      <c r="G28" t="s">
        <v>164</v>
      </c>
      <c r="H28" t="s">
        <v>40</v>
      </c>
      <c r="I28">
        <v>-7.8054230000000002</v>
      </c>
      <c r="J28">
        <v>110.150704</v>
      </c>
      <c r="K28">
        <v>3.5920000000000001</v>
      </c>
      <c r="L28">
        <v>39.106999999999999</v>
      </c>
      <c r="M28">
        <v>10.887600000000001</v>
      </c>
      <c r="N28" t="s">
        <v>31</v>
      </c>
      <c r="R28" s="2" t="s">
        <v>165</v>
      </c>
      <c r="S28" s="2" t="s">
        <v>166</v>
      </c>
      <c r="T28" s="2" t="s">
        <v>167</v>
      </c>
      <c r="U28" s="3" t="s">
        <v>115</v>
      </c>
      <c r="V28" s="3" t="s">
        <v>152</v>
      </c>
      <c r="W28" t="str">
        <f t="shared" si="0"/>
        <v>T</v>
      </c>
      <c r="X28" s="3" t="s">
        <v>36</v>
      </c>
      <c r="Y28" s="3"/>
      <c r="Z28" s="3" t="s">
        <v>168</v>
      </c>
    </row>
    <row r="29" spans="1:26" x14ac:dyDescent="0.3">
      <c r="A29">
        <v>11219</v>
      </c>
      <c r="B29" t="s">
        <v>169</v>
      </c>
      <c r="C29" t="s">
        <v>27</v>
      </c>
      <c r="D29" t="s">
        <v>170</v>
      </c>
      <c r="E29">
        <v>-7.9127650000000003</v>
      </c>
      <c r="F29">
        <v>110.229805</v>
      </c>
      <c r="G29" t="s">
        <v>171</v>
      </c>
      <c r="H29" t="s">
        <v>40</v>
      </c>
      <c r="I29">
        <v>-7.9104150000000004</v>
      </c>
      <c r="J29">
        <v>110.22888399999999</v>
      </c>
      <c r="K29">
        <v>3.4860000000000002</v>
      </c>
      <c r="L29">
        <v>31.533000000000001</v>
      </c>
      <c r="M29">
        <v>9.0455000000000005</v>
      </c>
      <c r="N29" t="s">
        <v>31</v>
      </c>
      <c r="R29" s="2" t="s">
        <v>172</v>
      </c>
      <c r="S29" s="2" t="s">
        <v>173</v>
      </c>
      <c r="T29" s="2" t="s">
        <v>174</v>
      </c>
      <c r="U29" s="3" t="s">
        <v>152</v>
      </c>
      <c r="V29" s="3"/>
      <c r="W29" t="str">
        <f t="shared" si="0"/>
        <v>T</v>
      </c>
      <c r="X29" s="3" t="s">
        <v>50</v>
      </c>
      <c r="Y29" s="3"/>
      <c r="Z29" s="3" t="s">
        <v>175</v>
      </c>
    </row>
    <row r="30" spans="1:26" x14ac:dyDescent="0.3">
      <c r="A30">
        <v>11746</v>
      </c>
      <c r="B30" t="s">
        <v>176</v>
      </c>
      <c r="C30" t="s">
        <v>27</v>
      </c>
      <c r="D30" t="s">
        <v>177</v>
      </c>
      <c r="E30">
        <v>-7.8139409999999998</v>
      </c>
      <c r="F30">
        <v>110.11027</v>
      </c>
      <c r="G30" t="s">
        <v>178</v>
      </c>
      <c r="H30" t="s">
        <v>40</v>
      </c>
      <c r="I30">
        <v>-7.8121790000000004</v>
      </c>
      <c r="J30">
        <v>110.11325600000001</v>
      </c>
      <c r="K30">
        <v>4.7830000000000004</v>
      </c>
      <c r="L30">
        <v>35.868000000000002</v>
      </c>
      <c r="M30">
        <v>7.4991000000000003</v>
      </c>
      <c r="N30" t="s">
        <v>31</v>
      </c>
      <c r="R30" s="2" t="s">
        <v>179</v>
      </c>
      <c r="S30" s="2" t="s">
        <v>180</v>
      </c>
      <c r="T30" s="2" t="s">
        <v>181</v>
      </c>
      <c r="U30" s="3" t="s">
        <v>35</v>
      </c>
      <c r="V30" s="3"/>
      <c r="W30" t="str">
        <f t="shared" si="0"/>
        <v>Y</v>
      </c>
      <c r="X30" s="3" t="s">
        <v>36</v>
      </c>
      <c r="Y30" s="3" t="s">
        <v>182</v>
      </c>
      <c r="Z30" s="3"/>
    </row>
    <row r="31" spans="1:26" x14ac:dyDescent="0.3">
      <c r="A31">
        <v>12710</v>
      </c>
      <c r="B31" t="s">
        <v>183</v>
      </c>
      <c r="C31" t="s">
        <v>27</v>
      </c>
      <c r="D31" t="s">
        <v>184</v>
      </c>
      <c r="E31">
        <v>-7.7895979999999998</v>
      </c>
      <c r="F31">
        <v>110.147503</v>
      </c>
      <c r="G31" t="s">
        <v>185</v>
      </c>
      <c r="H31" t="s">
        <v>40</v>
      </c>
      <c r="I31">
        <v>-7.7864170000000001</v>
      </c>
      <c r="J31">
        <v>110.147567</v>
      </c>
      <c r="K31">
        <v>4.3959999999999999</v>
      </c>
      <c r="L31">
        <v>30.626000000000001</v>
      </c>
      <c r="M31">
        <v>6.9667000000000003</v>
      </c>
      <c r="N31" t="s">
        <v>31</v>
      </c>
      <c r="R31" s="2" t="s">
        <v>186</v>
      </c>
      <c r="S31" s="2" t="s">
        <v>187</v>
      </c>
      <c r="T31" s="2" t="s">
        <v>188</v>
      </c>
      <c r="U31" s="3" t="s">
        <v>152</v>
      </c>
      <c r="V31" s="3"/>
      <c r="W31" t="str">
        <f t="shared" si="0"/>
        <v>T</v>
      </c>
      <c r="X31" s="3" t="s">
        <v>36</v>
      </c>
      <c r="Y31" s="3"/>
      <c r="Z31" s="3" t="s">
        <v>153</v>
      </c>
    </row>
    <row r="32" spans="1:26" x14ac:dyDescent="0.3">
      <c r="A32">
        <v>13173</v>
      </c>
      <c r="B32" t="s">
        <v>189</v>
      </c>
      <c r="C32" t="s">
        <v>27</v>
      </c>
      <c r="D32" t="s">
        <v>190</v>
      </c>
      <c r="E32">
        <v>-7.6928340000000004</v>
      </c>
      <c r="F32">
        <v>110.154951</v>
      </c>
      <c r="G32" t="s">
        <v>191</v>
      </c>
      <c r="H32" t="s">
        <v>30</v>
      </c>
      <c r="I32">
        <v>-7.691147</v>
      </c>
      <c r="J32">
        <v>110.154083</v>
      </c>
      <c r="K32">
        <v>2.621</v>
      </c>
      <c r="L32">
        <v>38.073</v>
      </c>
      <c r="M32">
        <v>14.5265</v>
      </c>
      <c r="N32" t="s">
        <v>31</v>
      </c>
      <c r="R32" s="2" t="s">
        <v>192</v>
      </c>
      <c r="S32" s="2" t="s">
        <v>193</v>
      </c>
      <c r="T32" s="2" t="s">
        <v>194</v>
      </c>
      <c r="U32" s="3" t="s">
        <v>152</v>
      </c>
      <c r="V32" s="3"/>
      <c r="W32" t="str">
        <f t="shared" si="0"/>
        <v>T</v>
      </c>
      <c r="X32" s="3" t="s">
        <v>36</v>
      </c>
      <c r="Y32" s="3"/>
      <c r="Z32" s="3" t="s">
        <v>153</v>
      </c>
    </row>
    <row r="33" spans="1:26" x14ac:dyDescent="0.3">
      <c r="A33">
        <v>13621</v>
      </c>
      <c r="B33" t="s">
        <v>195</v>
      </c>
      <c r="C33" t="s">
        <v>27</v>
      </c>
      <c r="D33" t="s">
        <v>196</v>
      </c>
      <c r="E33">
        <v>-7.7317910000000003</v>
      </c>
      <c r="F33">
        <v>110.188425</v>
      </c>
      <c r="G33" t="s">
        <v>197</v>
      </c>
      <c r="H33" t="s">
        <v>40</v>
      </c>
      <c r="I33">
        <v>-7.7336369999999999</v>
      </c>
      <c r="J33">
        <v>110.186243</v>
      </c>
      <c r="K33">
        <v>3.944</v>
      </c>
      <c r="L33">
        <v>32.634</v>
      </c>
      <c r="M33">
        <v>8.2745999999999995</v>
      </c>
      <c r="N33" t="s">
        <v>31</v>
      </c>
      <c r="R33" s="2" t="s">
        <v>198</v>
      </c>
      <c r="S33" s="2" t="s">
        <v>199</v>
      </c>
      <c r="T33" s="2" t="s">
        <v>200</v>
      </c>
      <c r="U33" s="3" t="s">
        <v>152</v>
      </c>
      <c r="V33" s="3"/>
      <c r="W33" t="str">
        <f t="shared" si="0"/>
        <v>T</v>
      </c>
      <c r="X33" s="3" t="s">
        <v>36</v>
      </c>
      <c r="Y33" s="3"/>
      <c r="Z33" s="3" t="s">
        <v>153</v>
      </c>
    </row>
    <row r="34" spans="1:26" x14ac:dyDescent="0.3">
      <c r="A34">
        <v>13946</v>
      </c>
      <c r="B34" t="s">
        <v>201</v>
      </c>
      <c r="C34" t="s">
        <v>27</v>
      </c>
      <c r="D34" t="s">
        <v>202</v>
      </c>
      <c r="E34">
        <v>-7.7552830000000004</v>
      </c>
      <c r="F34">
        <v>110.175684</v>
      </c>
      <c r="G34" t="s">
        <v>203</v>
      </c>
      <c r="H34" t="s">
        <v>40</v>
      </c>
      <c r="I34">
        <v>-7.754016</v>
      </c>
      <c r="J34">
        <v>110.176027</v>
      </c>
      <c r="K34">
        <v>1.8140000000000001</v>
      </c>
      <c r="L34">
        <v>60.933</v>
      </c>
      <c r="M34">
        <v>33.589700000000001</v>
      </c>
      <c r="N34" t="s">
        <v>31</v>
      </c>
      <c r="R34" s="2" t="s">
        <v>204</v>
      </c>
      <c r="S34" s="2" t="s">
        <v>205</v>
      </c>
      <c r="T34" s="2" t="s">
        <v>206</v>
      </c>
      <c r="U34" s="3" t="s">
        <v>152</v>
      </c>
      <c r="V34" s="3"/>
      <c r="W34" t="str">
        <f t="shared" si="0"/>
        <v>T</v>
      </c>
      <c r="X34" s="3" t="s">
        <v>36</v>
      </c>
      <c r="Y34" s="3"/>
      <c r="Z34" s="3" t="s">
        <v>153</v>
      </c>
    </row>
    <row r="35" spans="1:26" x14ac:dyDescent="0.3">
      <c r="A35">
        <v>13989</v>
      </c>
      <c r="B35" t="s">
        <v>207</v>
      </c>
      <c r="C35" t="s">
        <v>27</v>
      </c>
      <c r="D35" t="s">
        <v>45</v>
      </c>
      <c r="E35">
        <v>-7.8961189999999997</v>
      </c>
      <c r="F35">
        <v>110.05204000000001</v>
      </c>
      <c r="G35" t="s">
        <v>46</v>
      </c>
      <c r="H35" t="s">
        <v>40</v>
      </c>
      <c r="I35">
        <v>-7.8935930000000001</v>
      </c>
      <c r="J35">
        <v>110.052037</v>
      </c>
      <c r="K35">
        <v>3.4910000000000001</v>
      </c>
      <c r="L35">
        <v>50.963000000000001</v>
      </c>
      <c r="M35">
        <v>14.600099999999999</v>
      </c>
      <c r="N35" t="s">
        <v>31</v>
      </c>
      <c r="R35" s="2" t="s">
        <v>208</v>
      </c>
      <c r="S35" s="2" t="s">
        <v>48</v>
      </c>
      <c r="T35" s="2" t="s">
        <v>209</v>
      </c>
      <c r="U35" s="3" t="s">
        <v>157</v>
      </c>
      <c r="V35" s="3"/>
      <c r="W35" t="str">
        <f t="shared" si="0"/>
        <v>Y</v>
      </c>
      <c r="X35" s="3" t="s">
        <v>36</v>
      </c>
      <c r="Y35" s="3" t="s">
        <v>158</v>
      </c>
      <c r="Z35" s="3"/>
    </row>
    <row r="36" spans="1:26" x14ac:dyDescent="0.3">
      <c r="A36">
        <v>14225</v>
      </c>
      <c r="B36" t="s">
        <v>210</v>
      </c>
      <c r="C36" t="s">
        <v>27</v>
      </c>
      <c r="D36" t="s">
        <v>45</v>
      </c>
      <c r="E36">
        <v>-7.8970279999999997</v>
      </c>
      <c r="F36">
        <v>110.05385200000001</v>
      </c>
      <c r="G36" t="s">
        <v>211</v>
      </c>
      <c r="H36" t="s">
        <v>40</v>
      </c>
      <c r="I36">
        <v>-7.8961180000000004</v>
      </c>
      <c r="J36">
        <v>110.05466699999999</v>
      </c>
      <c r="K36">
        <v>1.6859999999999999</v>
      </c>
      <c r="L36">
        <v>48.284999999999997</v>
      </c>
      <c r="M36">
        <v>28.643899999999999</v>
      </c>
      <c r="N36" t="s">
        <v>31</v>
      </c>
      <c r="R36" s="2" t="s">
        <v>212</v>
      </c>
      <c r="S36" s="2" t="s">
        <v>213</v>
      </c>
      <c r="T36" s="2" t="s">
        <v>214</v>
      </c>
      <c r="U36" s="3" t="s">
        <v>157</v>
      </c>
      <c r="V36" s="3"/>
      <c r="W36" t="str">
        <f t="shared" si="0"/>
        <v>Y</v>
      </c>
      <c r="X36" s="3" t="s">
        <v>50</v>
      </c>
      <c r="Y36" s="3"/>
      <c r="Z36" s="3"/>
    </row>
    <row r="37" spans="1:26" x14ac:dyDescent="0.3">
      <c r="A37">
        <v>14254</v>
      </c>
      <c r="B37" t="s">
        <v>215</v>
      </c>
      <c r="C37" t="s">
        <v>27</v>
      </c>
      <c r="D37" t="s">
        <v>45</v>
      </c>
      <c r="E37">
        <v>-7.8961209999999999</v>
      </c>
      <c r="F37">
        <v>110.052947</v>
      </c>
      <c r="G37" t="s">
        <v>211</v>
      </c>
      <c r="H37" t="s">
        <v>40</v>
      </c>
      <c r="I37">
        <v>-7.8961180000000004</v>
      </c>
      <c r="J37">
        <v>110.05466699999999</v>
      </c>
      <c r="K37">
        <v>2.37</v>
      </c>
      <c r="L37">
        <v>49.148000000000003</v>
      </c>
      <c r="M37">
        <v>20.734999999999999</v>
      </c>
      <c r="N37" t="s">
        <v>31</v>
      </c>
      <c r="R37" s="2" t="s">
        <v>216</v>
      </c>
      <c r="S37" s="2" t="s">
        <v>213</v>
      </c>
      <c r="T37" s="2" t="s">
        <v>217</v>
      </c>
      <c r="U37" s="3" t="s">
        <v>157</v>
      </c>
      <c r="V37" s="3"/>
      <c r="W37" t="str">
        <f t="shared" si="0"/>
        <v>Y</v>
      </c>
      <c r="X37" s="3" t="s">
        <v>50</v>
      </c>
      <c r="Y37" s="3"/>
      <c r="Z37" s="3" t="s">
        <v>218</v>
      </c>
    </row>
    <row r="38" spans="1:26" x14ac:dyDescent="0.3">
      <c r="A38">
        <v>14598</v>
      </c>
      <c r="B38" t="s">
        <v>219</v>
      </c>
      <c r="C38" t="s">
        <v>27</v>
      </c>
      <c r="D38" t="s">
        <v>196</v>
      </c>
      <c r="E38">
        <v>-7.7281700000000004</v>
      </c>
      <c r="F38">
        <v>110.186618</v>
      </c>
      <c r="G38" t="s">
        <v>220</v>
      </c>
      <c r="H38" t="s">
        <v>40</v>
      </c>
      <c r="I38">
        <v>-7.7280069999999998</v>
      </c>
      <c r="J38">
        <v>110.18629300000001</v>
      </c>
      <c r="K38">
        <v>0.625</v>
      </c>
      <c r="L38">
        <v>51.320999999999998</v>
      </c>
      <c r="M38">
        <v>82.112899999999996</v>
      </c>
      <c r="N38" t="s">
        <v>31</v>
      </c>
      <c r="R38" s="2" t="s">
        <v>221</v>
      </c>
      <c r="S38" s="4" t="s">
        <v>222</v>
      </c>
      <c r="T38" s="2" t="s">
        <v>223</v>
      </c>
      <c r="U38" s="3" t="s">
        <v>878</v>
      </c>
      <c r="V38" s="3"/>
      <c r="W38" t="str">
        <f t="shared" si="0"/>
        <v>T</v>
      </c>
      <c r="X38" s="3" t="s">
        <v>50</v>
      </c>
      <c r="Y38" s="3"/>
      <c r="Z38" s="3" t="s">
        <v>224</v>
      </c>
    </row>
    <row r="39" spans="1:26" x14ac:dyDescent="0.3">
      <c r="A39">
        <v>14867</v>
      </c>
      <c r="B39" t="s">
        <v>225</v>
      </c>
      <c r="C39" t="s">
        <v>27</v>
      </c>
      <c r="D39" t="s">
        <v>45</v>
      </c>
      <c r="E39">
        <v>-7.8988360000000002</v>
      </c>
      <c r="F39">
        <v>110.053848</v>
      </c>
      <c r="G39" t="s">
        <v>211</v>
      </c>
      <c r="H39" t="s">
        <v>40</v>
      </c>
      <c r="I39">
        <v>-7.8961180000000004</v>
      </c>
      <c r="J39">
        <v>110.05466699999999</v>
      </c>
      <c r="K39">
        <v>3.923</v>
      </c>
      <c r="L39">
        <v>55.817</v>
      </c>
      <c r="M39">
        <v>14.228400000000001</v>
      </c>
      <c r="N39" t="s">
        <v>31</v>
      </c>
      <c r="R39" s="2" t="s">
        <v>226</v>
      </c>
      <c r="S39" s="2" t="s">
        <v>213</v>
      </c>
      <c r="T39" s="2" t="s">
        <v>227</v>
      </c>
      <c r="U39" s="3" t="s">
        <v>157</v>
      </c>
      <c r="V39" s="3"/>
      <c r="W39" t="str">
        <f t="shared" si="0"/>
        <v>Y</v>
      </c>
      <c r="X39" s="3" t="s">
        <v>36</v>
      </c>
      <c r="Y39" s="3" t="s">
        <v>158</v>
      </c>
      <c r="Z39" s="3"/>
    </row>
    <row r="40" spans="1:26" x14ac:dyDescent="0.3">
      <c r="A40">
        <v>15595</v>
      </c>
      <c r="B40" t="s">
        <v>228</v>
      </c>
      <c r="C40" t="s">
        <v>27</v>
      </c>
      <c r="D40" t="s">
        <v>229</v>
      </c>
      <c r="E40">
        <v>-7.8961309999999996</v>
      </c>
      <c r="F40">
        <v>110.05748199999999</v>
      </c>
      <c r="G40" t="s">
        <v>230</v>
      </c>
      <c r="H40" t="s">
        <v>40</v>
      </c>
      <c r="I40">
        <v>-7.8956419999999996</v>
      </c>
      <c r="J40">
        <v>110.05801200000001</v>
      </c>
      <c r="K40">
        <v>0.995</v>
      </c>
      <c r="L40">
        <v>42.651000000000003</v>
      </c>
      <c r="M40">
        <v>42.875599999999999</v>
      </c>
      <c r="N40" t="s">
        <v>31</v>
      </c>
      <c r="R40" s="2" t="s">
        <v>231</v>
      </c>
      <c r="S40" s="2" t="s">
        <v>232</v>
      </c>
      <c r="T40" s="2" t="s">
        <v>233</v>
      </c>
      <c r="U40" s="3" t="s">
        <v>157</v>
      </c>
      <c r="V40" s="3"/>
      <c r="W40" t="str">
        <f t="shared" si="0"/>
        <v>Y</v>
      </c>
      <c r="X40" s="3" t="s">
        <v>36</v>
      </c>
      <c r="Y40" s="3" t="s">
        <v>158</v>
      </c>
      <c r="Z40" s="3"/>
    </row>
    <row r="41" spans="1:26" x14ac:dyDescent="0.3">
      <c r="A41">
        <v>16007</v>
      </c>
      <c r="B41" t="s">
        <v>234</v>
      </c>
      <c r="C41" t="s">
        <v>27</v>
      </c>
      <c r="D41" t="s">
        <v>235</v>
      </c>
      <c r="E41">
        <v>-7.9107560000000001</v>
      </c>
      <c r="F41">
        <v>110.12820600000001</v>
      </c>
      <c r="G41" t="s">
        <v>236</v>
      </c>
      <c r="H41" t="s">
        <v>40</v>
      </c>
      <c r="I41">
        <v>-7.9080120000000003</v>
      </c>
      <c r="J41">
        <v>110.129045</v>
      </c>
      <c r="K41">
        <v>3.9649999999999999</v>
      </c>
      <c r="L41">
        <v>31.606999999999999</v>
      </c>
      <c r="M41">
        <v>7.9722</v>
      </c>
      <c r="N41" t="s">
        <v>31</v>
      </c>
      <c r="R41" s="2" t="s">
        <v>237</v>
      </c>
      <c r="S41" s="2" t="s">
        <v>238</v>
      </c>
      <c r="T41" s="2" t="s">
        <v>239</v>
      </c>
      <c r="U41" s="3" t="s">
        <v>35</v>
      </c>
      <c r="V41" s="3"/>
      <c r="W41" t="str">
        <f t="shared" si="0"/>
        <v>Y</v>
      </c>
      <c r="X41" s="3" t="s">
        <v>36</v>
      </c>
      <c r="Y41" s="3" t="s">
        <v>240</v>
      </c>
      <c r="Z41" s="3"/>
    </row>
    <row r="42" spans="1:26" x14ac:dyDescent="0.3">
      <c r="A42">
        <v>16123</v>
      </c>
      <c r="B42" t="s">
        <v>241</v>
      </c>
      <c r="C42" t="s">
        <v>27</v>
      </c>
      <c r="D42" t="s">
        <v>45</v>
      </c>
      <c r="E42">
        <v>-7.8979280000000003</v>
      </c>
      <c r="F42">
        <v>110.052036</v>
      </c>
      <c r="G42" t="s">
        <v>211</v>
      </c>
      <c r="H42" t="s">
        <v>40</v>
      </c>
      <c r="I42">
        <v>-7.8961180000000004</v>
      </c>
      <c r="J42">
        <v>110.05466699999999</v>
      </c>
      <c r="K42">
        <v>4.4050000000000002</v>
      </c>
      <c r="L42">
        <v>52.555</v>
      </c>
      <c r="M42">
        <v>11.9307</v>
      </c>
      <c r="N42" t="s">
        <v>31</v>
      </c>
      <c r="R42" s="2" t="s">
        <v>242</v>
      </c>
      <c r="S42" s="2" t="s">
        <v>213</v>
      </c>
      <c r="T42" s="2" t="s">
        <v>243</v>
      </c>
      <c r="U42" s="3" t="s">
        <v>157</v>
      </c>
      <c r="V42" s="3"/>
      <c r="W42" t="str">
        <f t="shared" si="0"/>
        <v>Y</v>
      </c>
      <c r="X42" s="3" t="s">
        <v>36</v>
      </c>
      <c r="Y42" s="3" t="s">
        <v>158</v>
      </c>
      <c r="Z42" s="3"/>
    </row>
    <row r="43" spans="1:26" x14ac:dyDescent="0.3">
      <c r="A43">
        <v>16216</v>
      </c>
      <c r="B43" t="s">
        <v>244</v>
      </c>
      <c r="C43" t="s">
        <v>27</v>
      </c>
      <c r="D43" t="s">
        <v>196</v>
      </c>
      <c r="E43">
        <v>-7.7317900000000002</v>
      </c>
      <c r="F43">
        <v>110.187518</v>
      </c>
      <c r="G43" t="s">
        <v>197</v>
      </c>
      <c r="H43" t="s">
        <v>40</v>
      </c>
      <c r="I43">
        <v>-7.7336369999999999</v>
      </c>
      <c r="J43">
        <v>110.186243</v>
      </c>
      <c r="K43">
        <v>3.1</v>
      </c>
      <c r="L43">
        <v>35.024999999999999</v>
      </c>
      <c r="M43">
        <v>11.299200000000001</v>
      </c>
      <c r="N43" t="s">
        <v>31</v>
      </c>
      <c r="R43" s="2" t="s">
        <v>245</v>
      </c>
      <c r="S43" s="2" t="s">
        <v>199</v>
      </c>
      <c r="T43" s="2" t="s">
        <v>246</v>
      </c>
      <c r="U43" s="3" t="s">
        <v>114</v>
      </c>
      <c r="V43" s="3"/>
      <c r="W43" t="str">
        <f t="shared" si="0"/>
        <v>Y</v>
      </c>
      <c r="X43" s="3" t="s">
        <v>50</v>
      </c>
      <c r="Y43" s="3"/>
      <c r="Z43" s="3" t="s">
        <v>247</v>
      </c>
    </row>
    <row r="44" spans="1:26" x14ac:dyDescent="0.3">
      <c r="A44">
        <v>16438</v>
      </c>
      <c r="B44" t="s">
        <v>248</v>
      </c>
      <c r="C44" t="s">
        <v>27</v>
      </c>
      <c r="D44" t="s">
        <v>196</v>
      </c>
      <c r="E44">
        <v>-7.7299790000000002</v>
      </c>
      <c r="F44">
        <v>110.186615</v>
      </c>
      <c r="G44" t="s">
        <v>220</v>
      </c>
      <c r="H44" t="s">
        <v>40</v>
      </c>
      <c r="I44">
        <v>-7.7280069999999998</v>
      </c>
      <c r="J44">
        <v>110.18629300000001</v>
      </c>
      <c r="K44">
        <v>2.7610000000000001</v>
      </c>
      <c r="L44">
        <v>46.692999999999998</v>
      </c>
      <c r="M44">
        <v>16.913499999999999</v>
      </c>
      <c r="N44" t="s">
        <v>31</v>
      </c>
      <c r="R44" s="2" t="s">
        <v>249</v>
      </c>
      <c r="S44" s="2" t="s">
        <v>222</v>
      </c>
      <c r="T44" s="2" t="s">
        <v>250</v>
      </c>
      <c r="U44" s="3" t="s">
        <v>114</v>
      </c>
      <c r="V44" s="3"/>
      <c r="W44" t="str">
        <f t="shared" si="0"/>
        <v>Y</v>
      </c>
      <c r="X44" s="3" t="s">
        <v>50</v>
      </c>
      <c r="Y44" s="3"/>
      <c r="Z44" s="3" t="s">
        <v>224</v>
      </c>
    </row>
    <row r="45" spans="1:26" x14ac:dyDescent="0.3">
      <c r="A45">
        <v>16619</v>
      </c>
      <c r="B45" t="s">
        <v>251</v>
      </c>
      <c r="C45" t="s">
        <v>27</v>
      </c>
      <c r="D45" t="s">
        <v>252</v>
      </c>
      <c r="E45">
        <v>-7.647678</v>
      </c>
      <c r="F45">
        <v>110.190398</v>
      </c>
      <c r="G45" t="s">
        <v>253</v>
      </c>
      <c r="H45" t="s">
        <v>30</v>
      </c>
      <c r="I45">
        <v>-7.6484670000000001</v>
      </c>
      <c r="J45">
        <v>110.188632</v>
      </c>
      <c r="K45">
        <v>2.6669999999999998</v>
      </c>
      <c r="L45">
        <v>110.96599999999999</v>
      </c>
      <c r="M45">
        <v>41.603000000000002</v>
      </c>
      <c r="N45" t="s">
        <v>31</v>
      </c>
      <c r="R45" s="2" t="s">
        <v>254</v>
      </c>
      <c r="S45" s="2" t="s">
        <v>255</v>
      </c>
      <c r="T45" s="2" t="s">
        <v>256</v>
      </c>
      <c r="U45" s="3" t="s">
        <v>152</v>
      </c>
      <c r="V45" s="3"/>
      <c r="W45" t="str">
        <f t="shared" si="0"/>
        <v>T</v>
      </c>
      <c r="X45" s="3" t="s">
        <v>36</v>
      </c>
      <c r="Y45" s="3"/>
      <c r="Z45" s="3" t="s">
        <v>257</v>
      </c>
    </row>
    <row r="46" spans="1:26" x14ac:dyDescent="0.3">
      <c r="A46">
        <v>17227</v>
      </c>
      <c r="B46" t="s">
        <v>258</v>
      </c>
      <c r="C46" t="s">
        <v>27</v>
      </c>
      <c r="D46" t="s">
        <v>259</v>
      </c>
      <c r="E46">
        <v>-7.9008330000000004</v>
      </c>
      <c r="F46">
        <v>110.140927</v>
      </c>
      <c r="G46" t="s">
        <v>260</v>
      </c>
      <c r="H46" t="s">
        <v>30</v>
      </c>
      <c r="I46">
        <v>-7.9010899999999999</v>
      </c>
      <c r="J46">
        <v>110.144181</v>
      </c>
      <c r="K46">
        <v>4.4980000000000002</v>
      </c>
      <c r="L46">
        <v>31.721</v>
      </c>
      <c r="M46">
        <v>7.0517000000000003</v>
      </c>
      <c r="N46" t="s">
        <v>31</v>
      </c>
      <c r="R46" s="2" t="s">
        <v>261</v>
      </c>
      <c r="S46" s="2" t="s">
        <v>262</v>
      </c>
      <c r="T46" s="2" t="s">
        <v>263</v>
      </c>
      <c r="U46" s="3" t="s">
        <v>35</v>
      </c>
      <c r="V46" s="3"/>
      <c r="W46" t="str">
        <f t="shared" si="0"/>
        <v>Y</v>
      </c>
      <c r="X46" s="3" t="s">
        <v>50</v>
      </c>
      <c r="Y46" s="3" t="s">
        <v>37</v>
      </c>
      <c r="Z46" s="3" t="s">
        <v>264</v>
      </c>
    </row>
    <row r="47" spans="1:26" x14ac:dyDescent="0.3">
      <c r="A47">
        <v>17290</v>
      </c>
      <c r="B47" t="s">
        <v>265</v>
      </c>
      <c r="C47" t="s">
        <v>27</v>
      </c>
      <c r="D47" t="s">
        <v>53</v>
      </c>
      <c r="E47">
        <v>-7.9033930000000003</v>
      </c>
      <c r="F47">
        <v>110.069259</v>
      </c>
      <c r="G47" t="s">
        <v>54</v>
      </c>
      <c r="H47" t="s">
        <v>55</v>
      </c>
      <c r="I47">
        <v>-7.9031770000000003</v>
      </c>
      <c r="J47">
        <v>110.07283099999999</v>
      </c>
      <c r="K47">
        <v>4.9320000000000004</v>
      </c>
      <c r="L47">
        <v>64.850999999999999</v>
      </c>
      <c r="M47">
        <v>13.1501</v>
      </c>
      <c r="N47" t="s">
        <v>31</v>
      </c>
      <c r="R47" s="2" t="s">
        <v>266</v>
      </c>
      <c r="S47" s="2" t="s">
        <v>57</v>
      </c>
      <c r="T47" s="2" t="s">
        <v>267</v>
      </c>
      <c r="U47" s="3" t="s">
        <v>157</v>
      </c>
      <c r="V47" s="3"/>
      <c r="W47" t="str">
        <f t="shared" si="0"/>
        <v>Y</v>
      </c>
      <c r="X47" s="3" t="s">
        <v>50</v>
      </c>
      <c r="Y47" s="3" t="s">
        <v>158</v>
      </c>
      <c r="Z47" s="3" t="s">
        <v>264</v>
      </c>
    </row>
    <row r="48" spans="1:26" x14ac:dyDescent="0.3">
      <c r="A48">
        <v>17409</v>
      </c>
      <c r="B48" t="s">
        <v>268</v>
      </c>
      <c r="C48" t="s">
        <v>27</v>
      </c>
      <c r="D48" t="s">
        <v>269</v>
      </c>
      <c r="E48">
        <v>-7.7154790000000002</v>
      </c>
      <c r="F48">
        <v>110.172134</v>
      </c>
      <c r="G48" t="s">
        <v>270</v>
      </c>
      <c r="H48" t="s">
        <v>40</v>
      </c>
      <c r="I48">
        <v>-7.7176850000000004</v>
      </c>
      <c r="J48">
        <v>110.17143900000001</v>
      </c>
      <c r="K48">
        <v>3.1949999999999998</v>
      </c>
      <c r="L48">
        <v>45.420999999999999</v>
      </c>
      <c r="M48">
        <v>14.2164</v>
      </c>
      <c r="N48" t="s">
        <v>31</v>
      </c>
      <c r="R48" s="2" t="s">
        <v>271</v>
      </c>
      <c r="S48" s="2" t="s">
        <v>272</v>
      </c>
      <c r="T48" s="2" t="s">
        <v>273</v>
      </c>
      <c r="U48" s="3" t="s">
        <v>114</v>
      </c>
      <c r="V48" s="3"/>
      <c r="W48" t="str">
        <f t="shared" si="0"/>
        <v>Y</v>
      </c>
      <c r="X48" s="3" t="s">
        <v>50</v>
      </c>
      <c r="Y48" s="3" t="s">
        <v>274</v>
      </c>
      <c r="Z48" s="3" t="s">
        <v>264</v>
      </c>
    </row>
    <row r="49" spans="1:26" x14ac:dyDescent="0.3">
      <c r="A49">
        <v>17432</v>
      </c>
      <c r="B49" t="s">
        <v>275</v>
      </c>
      <c r="C49" t="s">
        <v>27</v>
      </c>
      <c r="D49" t="s">
        <v>170</v>
      </c>
      <c r="E49">
        <v>-7.912763</v>
      </c>
      <c r="F49">
        <v>110.228897</v>
      </c>
      <c r="G49" t="s">
        <v>171</v>
      </c>
      <c r="H49" t="s">
        <v>40</v>
      </c>
      <c r="I49">
        <v>-7.9104150000000004</v>
      </c>
      <c r="J49">
        <v>110.22888399999999</v>
      </c>
      <c r="K49">
        <v>3.2450000000000001</v>
      </c>
      <c r="L49">
        <v>32.158000000000001</v>
      </c>
      <c r="M49">
        <v>9.9100999999999999</v>
      </c>
      <c r="N49" t="s">
        <v>31</v>
      </c>
      <c r="R49" s="2" t="s">
        <v>276</v>
      </c>
      <c r="S49" s="2" t="s">
        <v>173</v>
      </c>
      <c r="T49" s="2" t="s">
        <v>277</v>
      </c>
      <c r="U49" s="3" t="s">
        <v>152</v>
      </c>
      <c r="V49" s="3"/>
      <c r="W49" t="str">
        <f t="shared" si="0"/>
        <v>T</v>
      </c>
      <c r="X49" s="3" t="s">
        <v>50</v>
      </c>
      <c r="Y49" s="3"/>
      <c r="Z49" s="3" t="s">
        <v>278</v>
      </c>
    </row>
    <row r="50" spans="1:26" x14ac:dyDescent="0.3">
      <c r="A50">
        <v>17558</v>
      </c>
      <c r="B50" t="s">
        <v>279</v>
      </c>
      <c r="C50" t="s">
        <v>27</v>
      </c>
      <c r="D50" t="s">
        <v>53</v>
      </c>
      <c r="E50">
        <v>-7.9061149999999998</v>
      </c>
      <c r="F50">
        <v>110.072881</v>
      </c>
      <c r="G50" t="s">
        <v>54</v>
      </c>
      <c r="H50" t="s">
        <v>55</v>
      </c>
      <c r="I50">
        <v>-7.9031770000000003</v>
      </c>
      <c r="J50">
        <v>110.07283099999999</v>
      </c>
      <c r="K50">
        <v>4.0609999999999999</v>
      </c>
      <c r="L50">
        <v>71.191999999999993</v>
      </c>
      <c r="M50">
        <v>17.5322</v>
      </c>
      <c r="N50" t="s">
        <v>31</v>
      </c>
      <c r="R50" s="4" t="s">
        <v>280</v>
      </c>
      <c r="S50" s="2" t="s">
        <v>57</v>
      </c>
      <c r="T50" s="2" t="s">
        <v>281</v>
      </c>
      <c r="U50" s="3" t="s">
        <v>157</v>
      </c>
      <c r="V50" s="3"/>
      <c r="W50" t="str">
        <f t="shared" si="0"/>
        <v>Y</v>
      </c>
      <c r="X50" s="3" t="s">
        <v>50</v>
      </c>
      <c r="Y50" s="3" t="s">
        <v>158</v>
      </c>
      <c r="Z50" s="3" t="s">
        <v>264</v>
      </c>
    </row>
    <row r="51" spans="1:26" x14ac:dyDescent="0.3">
      <c r="A51">
        <v>17663</v>
      </c>
      <c r="B51" t="s">
        <v>282</v>
      </c>
      <c r="C51" t="s">
        <v>27</v>
      </c>
      <c r="D51" t="s">
        <v>190</v>
      </c>
      <c r="E51">
        <v>-7.6928320000000001</v>
      </c>
      <c r="F51">
        <v>110.154045</v>
      </c>
      <c r="G51" t="s">
        <v>191</v>
      </c>
      <c r="H51" t="s">
        <v>30</v>
      </c>
      <c r="I51">
        <v>-7.691147</v>
      </c>
      <c r="J51">
        <v>110.154083</v>
      </c>
      <c r="K51">
        <v>2.33</v>
      </c>
      <c r="L51">
        <v>38.99</v>
      </c>
      <c r="M51">
        <v>16.735099999999999</v>
      </c>
      <c r="N51" t="s">
        <v>31</v>
      </c>
      <c r="R51" s="2" t="s">
        <v>283</v>
      </c>
      <c r="S51" s="2" t="s">
        <v>193</v>
      </c>
      <c r="T51" s="2" t="s">
        <v>284</v>
      </c>
      <c r="U51" s="3" t="s">
        <v>114</v>
      </c>
      <c r="V51" s="3"/>
      <c r="W51" t="str">
        <f t="shared" si="0"/>
        <v>Y</v>
      </c>
      <c r="X51" s="3" t="s">
        <v>50</v>
      </c>
      <c r="Y51" s="3"/>
      <c r="Z51" s="3" t="s">
        <v>278</v>
      </c>
    </row>
    <row r="52" spans="1:26" x14ac:dyDescent="0.3">
      <c r="A52">
        <v>17845</v>
      </c>
      <c r="B52" t="s">
        <v>285</v>
      </c>
      <c r="C52" t="s">
        <v>27</v>
      </c>
      <c r="D52" t="s">
        <v>229</v>
      </c>
      <c r="E52">
        <v>-7.8943199999999996</v>
      </c>
      <c r="F52">
        <v>110.05658</v>
      </c>
      <c r="G52" t="s">
        <v>286</v>
      </c>
      <c r="H52" t="s">
        <v>40</v>
      </c>
      <c r="I52">
        <v>-7.8950449999999996</v>
      </c>
      <c r="J52">
        <v>110.05547799999999</v>
      </c>
      <c r="K52">
        <v>1.8180000000000001</v>
      </c>
      <c r="L52">
        <v>39.695</v>
      </c>
      <c r="M52">
        <v>21.829699999999999</v>
      </c>
      <c r="N52" t="s">
        <v>31</v>
      </c>
      <c r="R52" s="2" t="s">
        <v>287</v>
      </c>
      <c r="S52" s="2" t="s">
        <v>288</v>
      </c>
      <c r="T52" s="2" t="s">
        <v>289</v>
      </c>
      <c r="U52" s="3" t="s">
        <v>157</v>
      </c>
      <c r="V52" s="3"/>
      <c r="W52" t="str">
        <f t="shared" si="0"/>
        <v>Y</v>
      </c>
      <c r="X52" s="3" t="s">
        <v>50</v>
      </c>
      <c r="Y52" s="3" t="s">
        <v>158</v>
      </c>
      <c r="Z52" s="3" t="s">
        <v>264</v>
      </c>
    </row>
    <row r="53" spans="1:26" x14ac:dyDescent="0.3">
      <c r="A53">
        <v>18237</v>
      </c>
      <c r="B53" t="s">
        <v>290</v>
      </c>
      <c r="C53" t="s">
        <v>27</v>
      </c>
      <c r="D53" t="s">
        <v>45</v>
      </c>
      <c r="E53">
        <v>-7.8952099999999996</v>
      </c>
      <c r="F53">
        <v>110.050228</v>
      </c>
      <c r="G53" t="s">
        <v>46</v>
      </c>
      <c r="H53" t="s">
        <v>40</v>
      </c>
      <c r="I53">
        <v>-7.8935930000000001</v>
      </c>
      <c r="J53">
        <v>110.052037</v>
      </c>
      <c r="K53">
        <v>3.3479999999999999</v>
      </c>
      <c r="L53">
        <v>53.448</v>
      </c>
      <c r="M53">
        <v>15.9628</v>
      </c>
      <c r="N53" t="s">
        <v>31</v>
      </c>
      <c r="R53" s="2" t="s">
        <v>291</v>
      </c>
      <c r="S53" s="2" t="s">
        <v>48</v>
      </c>
      <c r="T53" s="2" t="s">
        <v>292</v>
      </c>
      <c r="U53" s="3" t="s">
        <v>157</v>
      </c>
      <c r="V53" s="3"/>
      <c r="W53" t="str">
        <f t="shared" si="0"/>
        <v>Y</v>
      </c>
      <c r="X53" s="3" t="s">
        <v>50</v>
      </c>
      <c r="Y53" s="3"/>
      <c r="Z53" s="3"/>
    </row>
    <row r="54" spans="1:26" x14ac:dyDescent="0.3">
      <c r="A54">
        <v>18284</v>
      </c>
      <c r="B54" t="s">
        <v>293</v>
      </c>
      <c r="C54" t="s">
        <v>27</v>
      </c>
      <c r="D54" t="s">
        <v>53</v>
      </c>
      <c r="E54">
        <v>-7.9061130000000004</v>
      </c>
      <c r="F54">
        <v>110.071974</v>
      </c>
      <c r="G54" t="s">
        <v>54</v>
      </c>
      <c r="H54" t="s">
        <v>55</v>
      </c>
      <c r="I54">
        <v>-7.9031770000000003</v>
      </c>
      <c r="J54">
        <v>110.07283099999999</v>
      </c>
      <c r="K54">
        <v>4.226</v>
      </c>
      <c r="L54">
        <v>96.945999999999998</v>
      </c>
      <c r="M54">
        <v>22.942299999999999</v>
      </c>
      <c r="N54" t="s">
        <v>31</v>
      </c>
      <c r="R54" s="2" t="s">
        <v>294</v>
      </c>
      <c r="S54" s="2" t="s">
        <v>57</v>
      </c>
      <c r="T54" s="2" t="s">
        <v>295</v>
      </c>
      <c r="U54" s="3" t="s">
        <v>157</v>
      </c>
      <c r="V54" s="3"/>
      <c r="W54" t="str">
        <f t="shared" si="0"/>
        <v>Y</v>
      </c>
      <c r="X54" s="3" t="s">
        <v>50</v>
      </c>
      <c r="Y54" s="3" t="s">
        <v>158</v>
      </c>
      <c r="Z54" s="3" t="s">
        <v>264</v>
      </c>
    </row>
    <row r="55" spans="1:26" x14ac:dyDescent="0.3">
      <c r="A55">
        <v>18583</v>
      </c>
      <c r="B55" t="s">
        <v>296</v>
      </c>
      <c r="C55" t="s">
        <v>27</v>
      </c>
      <c r="D55" t="s">
        <v>170</v>
      </c>
      <c r="E55">
        <v>-7.9136680000000004</v>
      </c>
      <c r="F55">
        <v>110.22889600000001</v>
      </c>
      <c r="G55" t="s">
        <v>171</v>
      </c>
      <c r="H55" t="s">
        <v>40</v>
      </c>
      <c r="I55">
        <v>-7.9104150000000004</v>
      </c>
      <c r="J55">
        <v>110.22888399999999</v>
      </c>
      <c r="K55">
        <v>4.4950000000000001</v>
      </c>
      <c r="L55">
        <v>31.265000000000001</v>
      </c>
      <c r="M55">
        <v>6.9557000000000002</v>
      </c>
      <c r="N55" t="s">
        <v>31</v>
      </c>
      <c r="R55" s="2" t="s">
        <v>297</v>
      </c>
      <c r="S55" s="2" t="s">
        <v>173</v>
      </c>
      <c r="T55" s="2" t="s">
        <v>298</v>
      </c>
      <c r="U55" s="3" t="s">
        <v>152</v>
      </c>
      <c r="V55" s="3"/>
      <c r="W55" t="str">
        <f t="shared" si="0"/>
        <v>T</v>
      </c>
      <c r="X55" s="3" t="s">
        <v>50</v>
      </c>
      <c r="Y55" s="3"/>
      <c r="Z55" s="3" t="s">
        <v>278</v>
      </c>
    </row>
    <row r="56" spans="1:26" x14ac:dyDescent="0.3">
      <c r="A56">
        <v>18975</v>
      </c>
      <c r="B56" t="s">
        <v>299</v>
      </c>
      <c r="C56" t="s">
        <v>27</v>
      </c>
      <c r="D56" t="s">
        <v>235</v>
      </c>
      <c r="E56">
        <v>-7.9107580000000004</v>
      </c>
      <c r="F56">
        <v>110.129113</v>
      </c>
      <c r="G56" t="s">
        <v>236</v>
      </c>
      <c r="H56" t="s">
        <v>40</v>
      </c>
      <c r="I56">
        <v>-7.9080120000000003</v>
      </c>
      <c r="J56">
        <v>110.129045</v>
      </c>
      <c r="K56">
        <v>3.7959999999999998</v>
      </c>
      <c r="L56">
        <v>30.408000000000001</v>
      </c>
      <c r="M56">
        <v>8.0104000000000006</v>
      </c>
      <c r="N56" t="s">
        <v>31</v>
      </c>
      <c r="R56" s="2" t="s">
        <v>300</v>
      </c>
      <c r="S56" s="2" t="s">
        <v>238</v>
      </c>
      <c r="T56" s="2" t="s">
        <v>301</v>
      </c>
      <c r="U56" s="3" t="s">
        <v>35</v>
      </c>
      <c r="V56" s="3"/>
      <c r="W56" t="str">
        <f t="shared" si="0"/>
        <v>Y</v>
      </c>
      <c r="X56" s="3" t="s">
        <v>50</v>
      </c>
      <c r="Y56" s="3"/>
      <c r="Z56" s="3"/>
    </row>
    <row r="57" spans="1:26" x14ac:dyDescent="0.3">
      <c r="A57">
        <v>19702</v>
      </c>
      <c r="B57" t="s">
        <v>302</v>
      </c>
      <c r="C57" t="s">
        <v>27</v>
      </c>
      <c r="D57" t="s">
        <v>53</v>
      </c>
      <c r="E57">
        <v>-7.9061110000000001</v>
      </c>
      <c r="F57">
        <v>110.071067</v>
      </c>
      <c r="G57" t="s">
        <v>54</v>
      </c>
      <c r="H57" t="s">
        <v>55</v>
      </c>
      <c r="I57">
        <v>-7.9031770000000003</v>
      </c>
      <c r="J57">
        <v>110.07283099999999</v>
      </c>
      <c r="K57">
        <v>4.7270000000000003</v>
      </c>
      <c r="L57">
        <v>94.397000000000006</v>
      </c>
      <c r="M57">
        <v>19.968</v>
      </c>
      <c r="N57" t="s">
        <v>31</v>
      </c>
      <c r="R57" s="2" t="s">
        <v>303</v>
      </c>
      <c r="S57" s="2" t="s">
        <v>57</v>
      </c>
      <c r="T57" s="2" t="s">
        <v>304</v>
      </c>
      <c r="U57" s="3" t="s">
        <v>157</v>
      </c>
      <c r="V57" s="3"/>
      <c r="W57" t="str">
        <f t="shared" si="0"/>
        <v>Y</v>
      </c>
      <c r="X57" s="3" t="s">
        <v>50</v>
      </c>
      <c r="Y57" s="3" t="s">
        <v>158</v>
      </c>
      <c r="Z57" s="3" t="s">
        <v>264</v>
      </c>
    </row>
    <row r="58" spans="1:26" x14ac:dyDescent="0.3">
      <c r="A58">
        <v>19779</v>
      </c>
      <c r="B58" t="s">
        <v>305</v>
      </c>
      <c r="C58" t="s">
        <v>27</v>
      </c>
      <c r="D58" t="s">
        <v>53</v>
      </c>
      <c r="E58">
        <v>-7.9052059999999997</v>
      </c>
      <c r="F58">
        <v>110.07106899999999</v>
      </c>
      <c r="G58" t="s">
        <v>54</v>
      </c>
      <c r="H58" t="s">
        <v>55</v>
      </c>
      <c r="I58">
        <v>-7.9031770000000003</v>
      </c>
      <c r="J58">
        <v>110.07283099999999</v>
      </c>
      <c r="K58">
        <v>3.71</v>
      </c>
      <c r="L58">
        <v>92.899000000000001</v>
      </c>
      <c r="M58">
        <v>25.043099999999999</v>
      </c>
      <c r="N58" t="s">
        <v>31</v>
      </c>
      <c r="R58" s="4" t="s">
        <v>306</v>
      </c>
      <c r="S58" s="2" t="s">
        <v>57</v>
      </c>
      <c r="T58" s="2" t="s">
        <v>307</v>
      </c>
      <c r="U58" s="3" t="s">
        <v>157</v>
      </c>
      <c r="V58" s="3"/>
      <c r="W58" t="str">
        <f t="shared" si="0"/>
        <v>Y</v>
      </c>
      <c r="X58" s="3" t="s">
        <v>50</v>
      </c>
      <c r="Y58" s="3" t="s">
        <v>158</v>
      </c>
      <c r="Z58" s="3" t="s">
        <v>264</v>
      </c>
    </row>
    <row r="59" spans="1:26" x14ac:dyDescent="0.3">
      <c r="A59">
        <v>20081</v>
      </c>
      <c r="B59" t="s">
        <v>308</v>
      </c>
      <c r="C59" t="s">
        <v>27</v>
      </c>
      <c r="D59" t="s">
        <v>45</v>
      </c>
      <c r="E59">
        <v>-7.8970229999999999</v>
      </c>
      <c r="F59">
        <v>110.052038</v>
      </c>
      <c r="G59" t="s">
        <v>211</v>
      </c>
      <c r="H59" t="s">
        <v>40</v>
      </c>
      <c r="I59">
        <v>-7.8961180000000004</v>
      </c>
      <c r="J59">
        <v>110.05466699999999</v>
      </c>
      <c r="K59">
        <v>3.8330000000000002</v>
      </c>
      <c r="L59">
        <v>51.508000000000003</v>
      </c>
      <c r="M59">
        <v>13.4375</v>
      </c>
      <c r="N59" t="s">
        <v>31</v>
      </c>
      <c r="R59" s="2" t="s">
        <v>309</v>
      </c>
      <c r="S59" s="2" t="s">
        <v>213</v>
      </c>
      <c r="T59" s="2" t="s">
        <v>310</v>
      </c>
      <c r="U59" s="3" t="s">
        <v>157</v>
      </c>
      <c r="V59" s="3"/>
      <c r="W59" t="str">
        <f t="shared" si="0"/>
        <v>Y</v>
      </c>
      <c r="X59" s="3" t="s">
        <v>50</v>
      </c>
      <c r="Y59" s="3"/>
      <c r="Z59" s="3" t="s">
        <v>311</v>
      </c>
    </row>
    <row r="60" spans="1:26" x14ac:dyDescent="0.3">
      <c r="A60">
        <v>20950</v>
      </c>
      <c r="B60" t="s">
        <v>312</v>
      </c>
      <c r="C60" t="s">
        <v>27</v>
      </c>
      <c r="D60" t="s">
        <v>45</v>
      </c>
      <c r="E60">
        <v>-7.8988339999999999</v>
      </c>
      <c r="F60">
        <v>110.052941</v>
      </c>
      <c r="G60" t="s">
        <v>211</v>
      </c>
      <c r="H60" t="s">
        <v>40</v>
      </c>
      <c r="I60">
        <v>-7.8961180000000004</v>
      </c>
      <c r="J60">
        <v>110.05466699999999</v>
      </c>
      <c r="K60">
        <v>4.444</v>
      </c>
      <c r="L60">
        <v>54.896000000000001</v>
      </c>
      <c r="M60">
        <v>12.351699999999999</v>
      </c>
      <c r="N60" t="s">
        <v>31</v>
      </c>
      <c r="R60" s="2" t="s">
        <v>313</v>
      </c>
      <c r="S60" s="2" t="s">
        <v>213</v>
      </c>
      <c r="T60" s="2" t="s">
        <v>314</v>
      </c>
      <c r="U60" s="3" t="s">
        <v>157</v>
      </c>
      <c r="V60" s="3"/>
      <c r="W60" t="str">
        <f t="shared" si="0"/>
        <v>Y</v>
      </c>
      <c r="X60" s="3" t="s">
        <v>50</v>
      </c>
      <c r="Y60" s="3" t="s">
        <v>158</v>
      </c>
      <c r="Z60" s="3" t="s">
        <v>264</v>
      </c>
    </row>
    <row r="61" spans="1:26" x14ac:dyDescent="0.3">
      <c r="A61">
        <v>20989</v>
      </c>
      <c r="B61" t="s">
        <v>315</v>
      </c>
      <c r="C61" t="s">
        <v>27</v>
      </c>
      <c r="D61" t="s">
        <v>316</v>
      </c>
      <c r="E61">
        <v>-7.9088339999999997</v>
      </c>
      <c r="F61">
        <v>110.075596</v>
      </c>
      <c r="G61" t="s">
        <v>317</v>
      </c>
      <c r="H61" t="s">
        <v>40</v>
      </c>
      <c r="I61">
        <v>-7.9072100000000001</v>
      </c>
      <c r="J61">
        <v>110.07745300000001</v>
      </c>
      <c r="K61">
        <v>3.4039999999999999</v>
      </c>
      <c r="L61">
        <v>112.98699999999999</v>
      </c>
      <c r="M61">
        <v>33.191699999999997</v>
      </c>
      <c r="N61" t="s">
        <v>31</v>
      </c>
      <c r="R61" s="2" t="s">
        <v>318</v>
      </c>
      <c r="S61" s="2" t="s">
        <v>319</v>
      </c>
      <c r="T61" s="2" t="s">
        <v>320</v>
      </c>
      <c r="U61" s="3" t="s">
        <v>157</v>
      </c>
      <c r="V61" s="3"/>
      <c r="W61" t="str">
        <f t="shared" si="0"/>
        <v>Y</v>
      </c>
      <c r="X61" s="3" t="s">
        <v>50</v>
      </c>
      <c r="Y61" s="3" t="s">
        <v>158</v>
      </c>
      <c r="Z61" s="3" t="s">
        <v>264</v>
      </c>
    </row>
    <row r="62" spans="1:26" x14ac:dyDescent="0.3">
      <c r="A62">
        <v>21020</v>
      </c>
      <c r="B62" t="s">
        <v>321</v>
      </c>
      <c r="C62" t="s">
        <v>27</v>
      </c>
      <c r="D62" t="s">
        <v>235</v>
      </c>
      <c r="E62">
        <v>-7.9107539999999998</v>
      </c>
      <c r="F62">
        <v>110.12729899999999</v>
      </c>
      <c r="G62" t="s">
        <v>236</v>
      </c>
      <c r="H62" t="s">
        <v>40</v>
      </c>
      <c r="I62">
        <v>-7.9080120000000003</v>
      </c>
      <c r="J62">
        <v>110.129045</v>
      </c>
      <c r="K62">
        <v>4.4889999999999999</v>
      </c>
      <c r="L62">
        <v>32.86</v>
      </c>
      <c r="M62">
        <v>7.3201000000000001</v>
      </c>
      <c r="N62" t="s">
        <v>31</v>
      </c>
      <c r="R62" s="4" t="s">
        <v>322</v>
      </c>
      <c r="S62" s="2" t="s">
        <v>238</v>
      </c>
      <c r="T62" s="2" t="s">
        <v>323</v>
      </c>
      <c r="U62" s="3" t="s">
        <v>35</v>
      </c>
      <c r="V62" s="3"/>
      <c r="W62" t="str">
        <f t="shared" si="0"/>
        <v>Y</v>
      </c>
      <c r="X62" s="3" t="s">
        <v>50</v>
      </c>
      <c r="Y62" s="3"/>
      <c r="Z62" s="3"/>
    </row>
    <row r="63" spans="1:26" x14ac:dyDescent="0.3">
      <c r="A63">
        <v>21384</v>
      </c>
      <c r="B63" t="s">
        <v>324</v>
      </c>
      <c r="C63" t="s">
        <v>27</v>
      </c>
      <c r="D63" t="s">
        <v>170</v>
      </c>
      <c r="E63">
        <v>-7.9136689999999996</v>
      </c>
      <c r="F63">
        <v>110.229803</v>
      </c>
      <c r="G63" t="s">
        <v>171</v>
      </c>
      <c r="H63" t="s">
        <v>40</v>
      </c>
      <c r="I63">
        <v>-7.9104150000000004</v>
      </c>
      <c r="J63">
        <v>110.22888399999999</v>
      </c>
      <c r="K63">
        <v>4.6719999999999997</v>
      </c>
      <c r="L63">
        <v>30.33</v>
      </c>
      <c r="M63">
        <v>6.492</v>
      </c>
      <c r="N63" t="s">
        <v>31</v>
      </c>
      <c r="R63" s="2" t="s">
        <v>325</v>
      </c>
      <c r="S63" s="2" t="s">
        <v>173</v>
      </c>
      <c r="T63" s="2" t="s">
        <v>326</v>
      </c>
      <c r="U63" s="3" t="s">
        <v>152</v>
      </c>
      <c r="V63" s="3"/>
      <c r="W63" t="str">
        <f t="shared" si="0"/>
        <v>T</v>
      </c>
      <c r="X63" s="3" t="s">
        <v>50</v>
      </c>
      <c r="Y63" s="3"/>
      <c r="Z63" s="3"/>
    </row>
    <row r="64" spans="1:26" x14ac:dyDescent="0.3">
      <c r="A64">
        <v>21421</v>
      </c>
      <c r="B64" t="s">
        <v>327</v>
      </c>
      <c r="C64" t="s">
        <v>27</v>
      </c>
      <c r="D64" t="s">
        <v>45</v>
      </c>
      <c r="E64">
        <v>-7.8970250000000002</v>
      </c>
      <c r="F64">
        <v>110.05294499999999</v>
      </c>
      <c r="G64" t="s">
        <v>211</v>
      </c>
      <c r="H64" t="s">
        <v>40</v>
      </c>
      <c r="I64">
        <v>-7.8961180000000004</v>
      </c>
      <c r="J64">
        <v>110.05466699999999</v>
      </c>
      <c r="K64">
        <v>2.6840000000000002</v>
      </c>
      <c r="L64">
        <v>51.712000000000003</v>
      </c>
      <c r="M64">
        <v>19.265699999999999</v>
      </c>
      <c r="N64" t="s">
        <v>31</v>
      </c>
      <c r="R64" s="4" t="s">
        <v>328</v>
      </c>
      <c r="S64" s="2" t="s">
        <v>213</v>
      </c>
      <c r="T64" s="2" t="s">
        <v>329</v>
      </c>
      <c r="U64" s="3" t="s">
        <v>157</v>
      </c>
      <c r="V64" s="3"/>
      <c r="W64" t="str">
        <f t="shared" si="0"/>
        <v>Y</v>
      </c>
      <c r="X64" s="3" t="s">
        <v>50</v>
      </c>
      <c r="Y64" s="3" t="s">
        <v>158</v>
      </c>
      <c r="Z64" s="3" t="s">
        <v>264</v>
      </c>
    </row>
    <row r="65" spans="1:26" x14ac:dyDescent="0.3">
      <c r="A65">
        <v>21632</v>
      </c>
      <c r="B65" t="s">
        <v>330</v>
      </c>
      <c r="C65" t="s">
        <v>27</v>
      </c>
      <c r="D65" t="s">
        <v>45</v>
      </c>
      <c r="E65">
        <v>-7.8952119999999999</v>
      </c>
      <c r="F65">
        <v>110.051135</v>
      </c>
      <c r="G65" t="s">
        <v>46</v>
      </c>
      <c r="H65" t="s">
        <v>40</v>
      </c>
      <c r="I65">
        <v>-7.8935930000000001</v>
      </c>
      <c r="J65">
        <v>110.052037</v>
      </c>
      <c r="K65">
        <v>2.56</v>
      </c>
      <c r="L65">
        <v>52.009</v>
      </c>
      <c r="M65">
        <v>20.316700000000001</v>
      </c>
      <c r="N65" t="s">
        <v>31</v>
      </c>
      <c r="R65" s="2" t="s">
        <v>331</v>
      </c>
      <c r="S65" s="2" t="s">
        <v>48</v>
      </c>
      <c r="T65" s="2" t="s">
        <v>332</v>
      </c>
      <c r="U65" s="3" t="s">
        <v>157</v>
      </c>
      <c r="V65" s="3"/>
      <c r="W65" t="str">
        <f t="shared" si="0"/>
        <v>Y</v>
      </c>
      <c r="X65" s="3" t="s">
        <v>50</v>
      </c>
      <c r="Y65" s="3"/>
      <c r="Z65" s="3"/>
    </row>
    <row r="66" spans="1:26" x14ac:dyDescent="0.3">
      <c r="A66">
        <v>21663</v>
      </c>
      <c r="B66" t="s">
        <v>333</v>
      </c>
      <c r="C66" t="s">
        <v>27</v>
      </c>
      <c r="D66" t="s">
        <v>316</v>
      </c>
      <c r="E66">
        <v>-7.9097439999999999</v>
      </c>
      <c r="F66">
        <v>110.078316</v>
      </c>
      <c r="G66" t="s">
        <v>317</v>
      </c>
      <c r="H66" t="s">
        <v>40</v>
      </c>
      <c r="I66">
        <v>-7.9072100000000001</v>
      </c>
      <c r="J66">
        <v>110.07745300000001</v>
      </c>
      <c r="K66">
        <v>3.6989999999999998</v>
      </c>
      <c r="L66">
        <v>116.892</v>
      </c>
      <c r="M66">
        <v>31.596800000000002</v>
      </c>
      <c r="N66" t="s">
        <v>31</v>
      </c>
      <c r="R66" s="2" t="s">
        <v>334</v>
      </c>
      <c r="S66" s="2" t="s">
        <v>319</v>
      </c>
      <c r="T66" s="2" t="s">
        <v>335</v>
      </c>
      <c r="U66" s="3" t="s">
        <v>157</v>
      </c>
      <c r="V66" s="3"/>
      <c r="W66" t="str">
        <f t="shared" ref="W66:W129" si="1">IF(LEFT(U66,1)="","",IF(ISNUMBER(SEARCH(LEFT(U66,1),"ABCDG")),"Y",IF(ISNUMBER(SEARCH(LEFT(U66,1),"EFH")),"T",IF(LEFT(U66,1)="I","cek",""))))</f>
        <v>Y</v>
      </c>
      <c r="X66" s="3" t="s">
        <v>50</v>
      </c>
      <c r="Y66" s="3"/>
      <c r="Z66" s="3"/>
    </row>
    <row r="67" spans="1:26" x14ac:dyDescent="0.3">
      <c r="A67">
        <v>21723</v>
      </c>
      <c r="B67" t="s">
        <v>336</v>
      </c>
      <c r="C67" t="s">
        <v>27</v>
      </c>
      <c r="D67" t="s">
        <v>45</v>
      </c>
      <c r="E67">
        <v>-7.8961170000000003</v>
      </c>
      <c r="F67">
        <v>110.05113299999999</v>
      </c>
      <c r="G67" t="s">
        <v>46</v>
      </c>
      <c r="H67" t="s">
        <v>40</v>
      </c>
      <c r="I67">
        <v>-7.8935930000000001</v>
      </c>
      <c r="J67">
        <v>110.052037</v>
      </c>
      <c r="K67">
        <v>3.7040000000000002</v>
      </c>
      <c r="L67">
        <v>52.572000000000003</v>
      </c>
      <c r="M67">
        <v>14.1945</v>
      </c>
      <c r="N67" t="s">
        <v>31</v>
      </c>
      <c r="R67" s="2" t="s">
        <v>337</v>
      </c>
      <c r="S67" s="2" t="s">
        <v>48</v>
      </c>
      <c r="T67" s="2" t="s">
        <v>338</v>
      </c>
      <c r="U67" s="3" t="s">
        <v>157</v>
      </c>
      <c r="V67" s="3"/>
      <c r="W67" t="str">
        <f t="shared" si="1"/>
        <v>Y</v>
      </c>
      <c r="X67" s="3" t="s">
        <v>50</v>
      </c>
      <c r="Y67" s="3"/>
      <c r="Z67" s="3"/>
    </row>
    <row r="68" spans="1:26" x14ac:dyDescent="0.3">
      <c r="A68">
        <v>22148</v>
      </c>
      <c r="B68" t="s">
        <v>339</v>
      </c>
      <c r="C68" t="s">
        <v>27</v>
      </c>
      <c r="D68" t="s">
        <v>229</v>
      </c>
      <c r="E68">
        <v>-7.8961329999999998</v>
      </c>
      <c r="F68">
        <v>110.05839</v>
      </c>
      <c r="G68" t="s">
        <v>230</v>
      </c>
      <c r="H68" t="s">
        <v>40</v>
      </c>
      <c r="I68">
        <v>-7.8956419999999996</v>
      </c>
      <c r="J68">
        <v>110.05801200000001</v>
      </c>
      <c r="K68">
        <v>0.85499999999999998</v>
      </c>
      <c r="L68">
        <v>43.444000000000003</v>
      </c>
      <c r="M68">
        <v>50.824800000000003</v>
      </c>
      <c r="N68" t="s">
        <v>31</v>
      </c>
      <c r="R68" s="2" t="s">
        <v>340</v>
      </c>
      <c r="S68" s="2" t="s">
        <v>232</v>
      </c>
      <c r="T68" s="2" t="s">
        <v>341</v>
      </c>
      <c r="U68" s="3" t="s">
        <v>157</v>
      </c>
      <c r="V68" s="3"/>
      <c r="W68" t="str">
        <f t="shared" si="1"/>
        <v>Y</v>
      </c>
      <c r="X68" s="3" t="s">
        <v>50</v>
      </c>
      <c r="Y68" s="3"/>
      <c r="Z68" s="3"/>
    </row>
    <row r="69" spans="1:26" x14ac:dyDescent="0.3">
      <c r="A69">
        <v>22663</v>
      </c>
      <c r="B69" t="s">
        <v>342</v>
      </c>
      <c r="C69" t="s">
        <v>27</v>
      </c>
      <c r="D69" t="s">
        <v>53</v>
      </c>
      <c r="E69">
        <v>-7.905208</v>
      </c>
      <c r="F69">
        <v>110.07197600000001</v>
      </c>
      <c r="G69" t="s">
        <v>54</v>
      </c>
      <c r="H69" t="s">
        <v>55</v>
      </c>
      <c r="I69">
        <v>-7.9031770000000003</v>
      </c>
      <c r="J69">
        <v>110.07283099999999</v>
      </c>
      <c r="K69">
        <v>3.044</v>
      </c>
      <c r="L69">
        <v>69.438000000000002</v>
      </c>
      <c r="M69">
        <v>22.8078</v>
      </c>
      <c r="N69" t="s">
        <v>31</v>
      </c>
      <c r="R69" s="2" t="s">
        <v>343</v>
      </c>
      <c r="S69" s="2" t="s">
        <v>57</v>
      </c>
      <c r="T69" s="2" t="s">
        <v>344</v>
      </c>
      <c r="U69" s="3" t="s">
        <v>157</v>
      </c>
      <c r="V69" s="3"/>
      <c r="W69" t="str">
        <f t="shared" si="1"/>
        <v>Y</v>
      </c>
      <c r="X69" s="3" t="s">
        <v>36</v>
      </c>
      <c r="Y69" s="3" t="s">
        <v>158</v>
      </c>
      <c r="Z69" s="3"/>
    </row>
    <row r="70" spans="1:26" x14ac:dyDescent="0.3">
      <c r="A70">
        <v>256</v>
      </c>
      <c r="B70" t="s">
        <v>26</v>
      </c>
      <c r="C70" t="s">
        <v>345</v>
      </c>
      <c r="D70" t="s">
        <v>28</v>
      </c>
      <c r="E70">
        <v>-7.8836539999999999</v>
      </c>
      <c r="F70">
        <v>110.14368399999999</v>
      </c>
      <c r="G70" t="s">
        <v>29</v>
      </c>
      <c r="H70" t="s">
        <v>30</v>
      </c>
      <c r="I70">
        <v>-7.8829830000000003</v>
      </c>
      <c r="J70">
        <v>110.14139</v>
      </c>
      <c r="K70">
        <v>3.294</v>
      </c>
      <c r="L70">
        <v>34.774000000000001</v>
      </c>
      <c r="M70">
        <v>10.555300000000001</v>
      </c>
      <c r="N70" t="s">
        <v>31</v>
      </c>
      <c r="O70" t="s">
        <v>346</v>
      </c>
      <c r="P70">
        <v>34.774000000000001</v>
      </c>
      <c r="Q70">
        <v>0</v>
      </c>
      <c r="R70" s="2" t="s">
        <v>32</v>
      </c>
      <c r="S70" s="2" t="s">
        <v>33</v>
      </c>
      <c r="T70" s="2" t="s">
        <v>347</v>
      </c>
      <c r="U70" s="3" t="s">
        <v>35</v>
      </c>
      <c r="V70" s="3"/>
      <c r="W70" t="str">
        <f t="shared" si="1"/>
        <v>Y</v>
      </c>
      <c r="X70" s="3" t="s">
        <v>348</v>
      </c>
      <c r="Y70" s="3" t="s">
        <v>37</v>
      </c>
      <c r="Z70" s="3"/>
    </row>
    <row r="71" spans="1:26" x14ac:dyDescent="0.3">
      <c r="A71">
        <v>712</v>
      </c>
      <c r="B71" t="s">
        <v>38</v>
      </c>
      <c r="C71" t="s">
        <v>345</v>
      </c>
      <c r="D71" t="s">
        <v>28</v>
      </c>
      <c r="E71">
        <v>-7.8800400000000002</v>
      </c>
      <c r="F71">
        <v>110.145505</v>
      </c>
      <c r="G71" t="s">
        <v>39</v>
      </c>
      <c r="H71" t="s">
        <v>40</v>
      </c>
      <c r="I71">
        <v>-7.8802320000000003</v>
      </c>
      <c r="J71">
        <v>110.142826</v>
      </c>
      <c r="K71">
        <v>3.7010000000000001</v>
      </c>
      <c r="L71">
        <v>43.186</v>
      </c>
      <c r="M71">
        <v>11.6686</v>
      </c>
      <c r="N71" t="s">
        <v>31</v>
      </c>
      <c r="O71" t="s">
        <v>346</v>
      </c>
      <c r="P71">
        <v>43.186</v>
      </c>
      <c r="Q71">
        <v>0</v>
      </c>
      <c r="R71" s="2" t="s">
        <v>41</v>
      </c>
      <c r="S71" s="2" t="s">
        <v>42</v>
      </c>
      <c r="T71" s="2" t="s">
        <v>349</v>
      </c>
      <c r="U71" s="3" t="s">
        <v>35</v>
      </c>
      <c r="V71" s="3"/>
      <c r="W71" t="str">
        <f t="shared" si="1"/>
        <v>Y</v>
      </c>
      <c r="X71" s="3" t="s">
        <v>348</v>
      </c>
      <c r="Y71" s="3" t="s">
        <v>37</v>
      </c>
      <c r="Z71" s="3"/>
    </row>
    <row r="72" spans="1:26" x14ac:dyDescent="0.3">
      <c r="A72">
        <v>1152</v>
      </c>
      <c r="B72" t="s">
        <v>44</v>
      </c>
      <c r="C72" t="s">
        <v>345</v>
      </c>
      <c r="D72" t="s">
        <v>45</v>
      </c>
      <c r="E72">
        <v>-7.896115</v>
      </c>
      <c r="F72">
        <v>110.05022599999999</v>
      </c>
      <c r="G72" t="s">
        <v>46</v>
      </c>
      <c r="H72" t="s">
        <v>40</v>
      </c>
      <c r="I72">
        <v>-7.8935930000000001</v>
      </c>
      <c r="J72">
        <v>110.052037</v>
      </c>
      <c r="K72">
        <v>4.2869999999999999</v>
      </c>
      <c r="L72">
        <v>54.180999999999997</v>
      </c>
      <c r="M72">
        <v>12.6395</v>
      </c>
      <c r="N72" t="s">
        <v>31</v>
      </c>
      <c r="O72" t="s">
        <v>346</v>
      </c>
      <c r="P72">
        <v>54.180999999999997</v>
      </c>
      <c r="Q72">
        <v>0</v>
      </c>
      <c r="R72" s="2" t="s">
        <v>47</v>
      </c>
      <c r="S72" s="2" t="s">
        <v>48</v>
      </c>
      <c r="T72" s="2" t="s">
        <v>350</v>
      </c>
      <c r="U72" s="3" t="s">
        <v>157</v>
      </c>
      <c r="V72" s="3"/>
      <c r="W72" t="str">
        <f t="shared" si="1"/>
        <v>Y</v>
      </c>
      <c r="X72" s="3" t="s">
        <v>50</v>
      </c>
      <c r="Y72" s="3"/>
      <c r="Z72" s="3" t="s">
        <v>51</v>
      </c>
    </row>
    <row r="73" spans="1:26" x14ac:dyDescent="0.3">
      <c r="A73">
        <v>1198</v>
      </c>
      <c r="B73" t="s">
        <v>52</v>
      </c>
      <c r="C73" t="s">
        <v>345</v>
      </c>
      <c r="D73" t="s">
        <v>53</v>
      </c>
      <c r="E73">
        <v>-7.9043020000000004</v>
      </c>
      <c r="F73">
        <v>110.071071</v>
      </c>
      <c r="G73" t="s">
        <v>54</v>
      </c>
      <c r="H73" t="s">
        <v>55</v>
      </c>
      <c r="I73">
        <v>-7.9031770000000003</v>
      </c>
      <c r="J73">
        <v>110.07283099999999</v>
      </c>
      <c r="K73">
        <v>2.8809999999999998</v>
      </c>
      <c r="L73">
        <v>80.742000000000004</v>
      </c>
      <c r="M73">
        <v>28.028400000000001</v>
      </c>
      <c r="N73" t="s">
        <v>31</v>
      </c>
      <c r="O73" t="s">
        <v>351</v>
      </c>
      <c r="P73">
        <v>67.498000000000005</v>
      </c>
      <c r="Q73">
        <v>13.244</v>
      </c>
      <c r="R73" s="2" t="s">
        <v>56</v>
      </c>
      <c r="S73" s="2" t="s">
        <v>57</v>
      </c>
      <c r="T73" s="2" t="s">
        <v>352</v>
      </c>
      <c r="U73" s="3" t="s">
        <v>157</v>
      </c>
      <c r="V73" s="3" t="s">
        <v>353</v>
      </c>
      <c r="W73" t="str">
        <f t="shared" si="1"/>
        <v>Y</v>
      </c>
      <c r="X73" s="3" t="s">
        <v>50</v>
      </c>
      <c r="Y73" s="3"/>
      <c r="Z73" s="3"/>
    </row>
    <row r="74" spans="1:26" x14ac:dyDescent="0.3">
      <c r="A74">
        <v>3043</v>
      </c>
      <c r="B74" t="s">
        <v>59</v>
      </c>
      <c r="C74" t="s">
        <v>345</v>
      </c>
      <c r="D74" t="s">
        <v>60</v>
      </c>
      <c r="E74">
        <v>-7.8728119999999997</v>
      </c>
      <c r="F74">
        <v>110.149148</v>
      </c>
      <c r="G74" t="s">
        <v>61</v>
      </c>
      <c r="H74" t="s">
        <v>30</v>
      </c>
      <c r="I74">
        <v>-7.872052</v>
      </c>
      <c r="J74">
        <v>110.15073</v>
      </c>
      <c r="K74">
        <v>2.419</v>
      </c>
      <c r="L74">
        <v>31.497</v>
      </c>
      <c r="M74">
        <v>13.019399999999999</v>
      </c>
      <c r="N74" t="s">
        <v>31</v>
      </c>
      <c r="O74" t="s">
        <v>346</v>
      </c>
      <c r="P74">
        <v>31.497</v>
      </c>
      <c r="Q74">
        <v>0</v>
      </c>
      <c r="R74" s="2" t="s">
        <v>62</v>
      </c>
      <c r="S74" s="2" t="s">
        <v>63</v>
      </c>
      <c r="T74" s="2" t="s">
        <v>354</v>
      </c>
      <c r="U74" s="3" t="s">
        <v>35</v>
      </c>
      <c r="V74" s="3"/>
      <c r="W74" t="str">
        <f t="shared" si="1"/>
        <v>Y</v>
      </c>
      <c r="X74" s="3" t="s">
        <v>348</v>
      </c>
      <c r="Y74" s="3" t="s">
        <v>37</v>
      </c>
      <c r="Z74" s="3"/>
    </row>
    <row r="75" spans="1:26" x14ac:dyDescent="0.3">
      <c r="A75">
        <v>3083</v>
      </c>
      <c r="B75" t="s">
        <v>65</v>
      </c>
      <c r="C75" t="s">
        <v>345</v>
      </c>
      <c r="D75" t="s">
        <v>66</v>
      </c>
      <c r="E75">
        <v>-7.8267150000000001</v>
      </c>
      <c r="F75">
        <v>110.164661</v>
      </c>
      <c r="G75" t="s">
        <v>67</v>
      </c>
      <c r="H75" t="s">
        <v>68</v>
      </c>
      <c r="I75">
        <v>-7.8266489999999997</v>
      </c>
      <c r="J75">
        <v>110.161965</v>
      </c>
      <c r="K75">
        <v>3.7160000000000002</v>
      </c>
      <c r="L75">
        <v>40.463999999999999</v>
      </c>
      <c r="M75">
        <v>10.889099999999999</v>
      </c>
      <c r="N75" t="s">
        <v>31</v>
      </c>
      <c r="O75" t="s">
        <v>346</v>
      </c>
      <c r="P75">
        <v>40.463999999999999</v>
      </c>
      <c r="Q75">
        <v>0</v>
      </c>
      <c r="R75" s="2" t="s">
        <v>69</v>
      </c>
      <c r="S75" s="2" t="s">
        <v>70</v>
      </c>
      <c r="T75" s="2" t="s">
        <v>355</v>
      </c>
      <c r="U75" s="3" t="s">
        <v>35</v>
      </c>
      <c r="V75" s="3"/>
      <c r="W75" t="str">
        <f t="shared" si="1"/>
        <v>Y</v>
      </c>
      <c r="X75" s="3" t="s">
        <v>348</v>
      </c>
      <c r="Y75" s="3" t="s">
        <v>72</v>
      </c>
      <c r="Z75" s="3"/>
    </row>
    <row r="76" spans="1:26" x14ac:dyDescent="0.3">
      <c r="A76">
        <v>3591</v>
      </c>
      <c r="B76" t="s">
        <v>356</v>
      </c>
      <c r="C76" t="s">
        <v>345</v>
      </c>
      <c r="E76">
        <v>-7.9297500000000003</v>
      </c>
      <c r="F76">
        <v>110.12816599999999</v>
      </c>
      <c r="G76" t="s">
        <v>357</v>
      </c>
      <c r="H76" t="s">
        <v>30</v>
      </c>
      <c r="I76">
        <v>-7.9278620000000002</v>
      </c>
      <c r="J76">
        <v>110.128547</v>
      </c>
      <c r="K76">
        <v>2.661</v>
      </c>
      <c r="L76">
        <v>39.826000000000001</v>
      </c>
      <c r="M76">
        <v>14.9643</v>
      </c>
      <c r="N76" t="s">
        <v>31</v>
      </c>
      <c r="O76" t="s">
        <v>358</v>
      </c>
      <c r="P76">
        <v>19.381</v>
      </c>
      <c r="Q76">
        <v>20.445</v>
      </c>
      <c r="R76" s="2" t="s">
        <v>359</v>
      </c>
      <c r="S76" s="2" t="s">
        <v>360</v>
      </c>
      <c r="T76" s="2" t="s">
        <v>361</v>
      </c>
      <c r="U76" s="3" t="s">
        <v>353</v>
      </c>
      <c r="V76" s="3"/>
      <c r="W76" t="str">
        <f t="shared" si="1"/>
        <v>Y</v>
      </c>
      <c r="X76" s="3" t="s">
        <v>348</v>
      </c>
      <c r="Y76" s="3" t="s">
        <v>362</v>
      </c>
      <c r="Z76" s="3" t="s">
        <v>363</v>
      </c>
    </row>
    <row r="77" spans="1:26" x14ac:dyDescent="0.3">
      <c r="A77">
        <v>4254</v>
      </c>
      <c r="B77" t="s">
        <v>73</v>
      </c>
      <c r="C77" t="s">
        <v>345</v>
      </c>
      <c r="D77" t="s">
        <v>74</v>
      </c>
      <c r="E77">
        <v>-7.8592849999999999</v>
      </c>
      <c r="F77">
        <v>110.16913099999999</v>
      </c>
      <c r="G77" t="s">
        <v>75</v>
      </c>
      <c r="H77" t="s">
        <v>68</v>
      </c>
      <c r="I77">
        <v>-7.8579439999999998</v>
      </c>
      <c r="J77">
        <v>110.17154600000001</v>
      </c>
      <c r="K77">
        <v>3.81</v>
      </c>
      <c r="L77">
        <v>30.111000000000001</v>
      </c>
      <c r="M77">
        <v>7.9038000000000004</v>
      </c>
      <c r="N77" t="s">
        <v>31</v>
      </c>
      <c r="O77" t="s">
        <v>346</v>
      </c>
      <c r="P77">
        <v>30.111000000000001</v>
      </c>
      <c r="Q77">
        <v>0</v>
      </c>
      <c r="R77" s="4" t="s">
        <v>76</v>
      </c>
      <c r="S77" s="2" t="s">
        <v>77</v>
      </c>
      <c r="T77" s="2" t="s">
        <v>364</v>
      </c>
      <c r="U77" s="3" t="s">
        <v>35</v>
      </c>
      <c r="V77" s="3"/>
      <c r="W77" t="str">
        <f t="shared" si="1"/>
        <v>Y</v>
      </c>
      <c r="X77" s="3" t="s">
        <v>50</v>
      </c>
      <c r="Y77" s="3"/>
      <c r="Z77" s="3"/>
    </row>
    <row r="78" spans="1:26" x14ac:dyDescent="0.3">
      <c r="A78">
        <v>4484</v>
      </c>
      <c r="B78" t="s">
        <v>79</v>
      </c>
      <c r="C78" t="s">
        <v>345</v>
      </c>
      <c r="D78" t="s">
        <v>80</v>
      </c>
      <c r="E78">
        <v>-7.8221759999999998</v>
      </c>
      <c r="F78">
        <v>110.156507</v>
      </c>
      <c r="G78" t="s">
        <v>81</v>
      </c>
      <c r="H78" t="s">
        <v>30</v>
      </c>
      <c r="I78">
        <v>-7.8249680000000001</v>
      </c>
      <c r="J78">
        <v>110.154332</v>
      </c>
      <c r="K78">
        <v>4.8860000000000001</v>
      </c>
      <c r="L78">
        <v>31.347000000000001</v>
      </c>
      <c r="M78">
        <v>6.4153000000000002</v>
      </c>
      <c r="N78" t="s">
        <v>31</v>
      </c>
      <c r="O78" t="s">
        <v>346</v>
      </c>
      <c r="P78">
        <v>31.347000000000001</v>
      </c>
      <c r="Q78">
        <v>0</v>
      </c>
      <c r="R78" s="2" t="s">
        <v>82</v>
      </c>
      <c r="S78" s="2" t="s">
        <v>83</v>
      </c>
      <c r="T78" s="2" t="s">
        <v>365</v>
      </c>
      <c r="U78" s="3" t="s">
        <v>35</v>
      </c>
      <c r="V78" s="3"/>
      <c r="W78" t="str">
        <f t="shared" si="1"/>
        <v>Y</v>
      </c>
      <c r="X78" s="3" t="s">
        <v>348</v>
      </c>
      <c r="Y78" s="3" t="s">
        <v>366</v>
      </c>
      <c r="Z78" s="3"/>
    </row>
    <row r="79" spans="1:26" x14ac:dyDescent="0.3">
      <c r="A79">
        <v>5481</v>
      </c>
      <c r="B79" t="s">
        <v>85</v>
      </c>
      <c r="C79" t="s">
        <v>345</v>
      </c>
      <c r="D79" t="s">
        <v>80</v>
      </c>
      <c r="E79">
        <v>-7.8221749999999997</v>
      </c>
      <c r="F79">
        <v>110.15560000000001</v>
      </c>
      <c r="G79" t="s">
        <v>81</v>
      </c>
      <c r="H79" t="s">
        <v>30</v>
      </c>
      <c r="I79">
        <v>-7.8249680000000001</v>
      </c>
      <c r="J79">
        <v>110.154332</v>
      </c>
      <c r="K79">
        <v>4.2380000000000004</v>
      </c>
      <c r="L79">
        <v>30.417000000000002</v>
      </c>
      <c r="M79">
        <v>7.1768999999999998</v>
      </c>
      <c r="N79" t="s">
        <v>31</v>
      </c>
      <c r="O79" t="s">
        <v>346</v>
      </c>
      <c r="P79">
        <v>30.417000000000002</v>
      </c>
      <c r="Q79">
        <v>0</v>
      </c>
      <c r="R79" s="2" t="s">
        <v>86</v>
      </c>
      <c r="S79" s="2" t="s">
        <v>83</v>
      </c>
      <c r="T79" s="2" t="s">
        <v>367</v>
      </c>
      <c r="U79" s="3" t="s">
        <v>35</v>
      </c>
      <c r="V79" s="3"/>
      <c r="W79" t="str">
        <f t="shared" si="1"/>
        <v>Y</v>
      </c>
      <c r="X79" s="3" t="s">
        <v>348</v>
      </c>
      <c r="Y79" s="3" t="s">
        <v>366</v>
      </c>
      <c r="Z79" s="3"/>
    </row>
    <row r="80" spans="1:26" x14ac:dyDescent="0.3">
      <c r="A80">
        <v>6084</v>
      </c>
      <c r="B80" t="s">
        <v>88</v>
      </c>
      <c r="C80" t="s">
        <v>345</v>
      </c>
      <c r="D80" t="s">
        <v>60</v>
      </c>
      <c r="E80">
        <v>-7.8719049999999999</v>
      </c>
      <c r="F80">
        <v>110.14824299999999</v>
      </c>
      <c r="G80" t="s">
        <v>61</v>
      </c>
      <c r="H80" t="s">
        <v>30</v>
      </c>
      <c r="I80">
        <v>-7.872052</v>
      </c>
      <c r="J80">
        <v>110.15073</v>
      </c>
      <c r="K80">
        <v>3.4329999999999998</v>
      </c>
      <c r="L80">
        <v>30.253</v>
      </c>
      <c r="M80">
        <v>8.8123000000000005</v>
      </c>
      <c r="N80" t="s">
        <v>31</v>
      </c>
      <c r="O80" t="s">
        <v>346</v>
      </c>
      <c r="P80">
        <v>30.253</v>
      </c>
      <c r="Q80">
        <v>0</v>
      </c>
      <c r="R80" s="2" t="s">
        <v>89</v>
      </c>
      <c r="S80" s="2" t="s">
        <v>63</v>
      </c>
      <c r="T80" s="2" t="s">
        <v>368</v>
      </c>
      <c r="U80" s="3" t="s">
        <v>35</v>
      </c>
      <c r="V80" s="3"/>
      <c r="W80" t="str">
        <f t="shared" si="1"/>
        <v>Y</v>
      </c>
      <c r="X80" s="3" t="s">
        <v>348</v>
      </c>
      <c r="Y80" s="3" t="s">
        <v>37</v>
      </c>
      <c r="Z80" s="3"/>
    </row>
    <row r="81" spans="1:26" x14ac:dyDescent="0.3">
      <c r="A81">
        <v>6480</v>
      </c>
      <c r="B81" t="s">
        <v>91</v>
      </c>
      <c r="C81" t="s">
        <v>345</v>
      </c>
      <c r="D81" t="s">
        <v>28</v>
      </c>
      <c r="E81">
        <v>-7.8773249999999999</v>
      </c>
      <c r="F81">
        <v>110.144604</v>
      </c>
      <c r="G81" t="s">
        <v>39</v>
      </c>
      <c r="H81" t="s">
        <v>40</v>
      </c>
      <c r="I81">
        <v>-7.8802320000000003</v>
      </c>
      <c r="J81">
        <v>110.142826</v>
      </c>
      <c r="K81">
        <v>4.7050000000000001</v>
      </c>
      <c r="L81">
        <v>49.046999999999997</v>
      </c>
      <c r="M81">
        <v>10.423999999999999</v>
      </c>
      <c r="N81" t="s">
        <v>31</v>
      </c>
      <c r="O81" t="s">
        <v>346</v>
      </c>
      <c r="P81">
        <v>49.046999999999997</v>
      </c>
      <c r="Q81">
        <v>0</v>
      </c>
      <c r="R81" s="2" t="s">
        <v>92</v>
      </c>
      <c r="S81" s="2" t="s">
        <v>42</v>
      </c>
      <c r="T81" s="2" t="s">
        <v>369</v>
      </c>
      <c r="U81" s="3" t="s">
        <v>35</v>
      </c>
      <c r="V81" s="3"/>
      <c r="W81" t="str">
        <f t="shared" si="1"/>
        <v>Y</v>
      </c>
      <c r="X81" s="3" t="s">
        <v>348</v>
      </c>
      <c r="Y81" s="3" t="s">
        <v>37</v>
      </c>
      <c r="Z81" s="3"/>
    </row>
    <row r="82" spans="1:26" x14ac:dyDescent="0.3">
      <c r="A82">
        <v>6528</v>
      </c>
      <c r="B82" t="s">
        <v>94</v>
      </c>
      <c r="C82" t="s">
        <v>345</v>
      </c>
      <c r="D82" t="s">
        <v>74</v>
      </c>
      <c r="E82">
        <v>-7.861993</v>
      </c>
      <c r="F82">
        <v>110.166404</v>
      </c>
      <c r="G82" t="s">
        <v>95</v>
      </c>
      <c r="H82" t="s">
        <v>40</v>
      </c>
      <c r="I82">
        <v>-7.8589969999999996</v>
      </c>
      <c r="J82">
        <v>110.165148</v>
      </c>
      <c r="K82">
        <v>4.4880000000000004</v>
      </c>
      <c r="L82">
        <v>31.015000000000001</v>
      </c>
      <c r="M82">
        <v>6.9104999999999999</v>
      </c>
      <c r="N82" t="s">
        <v>31</v>
      </c>
      <c r="O82" t="s">
        <v>346</v>
      </c>
      <c r="P82">
        <v>31.015000000000001</v>
      </c>
      <c r="Q82">
        <v>0</v>
      </c>
      <c r="R82" s="2" t="s">
        <v>96</v>
      </c>
      <c r="S82" s="2" t="s">
        <v>97</v>
      </c>
      <c r="T82" s="2" t="s">
        <v>370</v>
      </c>
      <c r="U82" s="3" t="s">
        <v>35</v>
      </c>
      <c r="V82" s="3"/>
      <c r="W82" t="str">
        <f t="shared" si="1"/>
        <v>Y</v>
      </c>
      <c r="X82" s="3" t="s">
        <v>348</v>
      </c>
      <c r="Y82" s="3" t="s">
        <v>37</v>
      </c>
      <c r="Z82" s="3"/>
    </row>
    <row r="83" spans="1:26" x14ac:dyDescent="0.3">
      <c r="A83">
        <v>7232</v>
      </c>
      <c r="B83" t="s">
        <v>99</v>
      </c>
      <c r="C83" t="s">
        <v>345</v>
      </c>
      <c r="D83" t="s">
        <v>60</v>
      </c>
      <c r="E83">
        <v>-7.8709990000000003</v>
      </c>
      <c r="F83">
        <v>110.147338</v>
      </c>
      <c r="G83" t="s">
        <v>61</v>
      </c>
      <c r="H83" t="s">
        <v>30</v>
      </c>
      <c r="I83">
        <v>-7.872052</v>
      </c>
      <c r="J83">
        <v>110.15073</v>
      </c>
      <c r="K83">
        <v>4.8959999999999999</v>
      </c>
      <c r="L83">
        <v>30.213999999999999</v>
      </c>
      <c r="M83">
        <v>6.1714000000000002</v>
      </c>
      <c r="N83" t="s">
        <v>31</v>
      </c>
      <c r="O83" t="s">
        <v>346</v>
      </c>
      <c r="P83">
        <v>30.213999999999999</v>
      </c>
      <c r="Q83">
        <v>0</v>
      </c>
      <c r="R83" s="2" t="s">
        <v>100</v>
      </c>
      <c r="S83" s="2" t="s">
        <v>63</v>
      </c>
      <c r="T83" s="2" t="s">
        <v>371</v>
      </c>
      <c r="U83" s="3" t="s">
        <v>35</v>
      </c>
      <c r="V83" s="3"/>
      <c r="W83" t="str">
        <f t="shared" si="1"/>
        <v>Y</v>
      </c>
      <c r="X83" s="3" t="s">
        <v>348</v>
      </c>
      <c r="Y83" s="3" t="s">
        <v>37</v>
      </c>
      <c r="Z83" s="3"/>
    </row>
    <row r="84" spans="1:26" x14ac:dyDescent="0.3">
      <c r="A84">
        <v>7393</v>
      </c>
      <c r="B84" t="s">
        <v>102</v>
      </c>
      <c r="C84" t="s">
        <v>345</v>
      </c>
      <c r="D84" t="s">
        <v>80</v>
      </c>
      <c r="E84">
        <v>-7.8230789999999999</v>
      </c>
      <c r="F84">
        <v>110.155598</v>
      </c>
      <c r="G84" t="s">
        <v>81</v>
      </c>
      <c r="H84" t="s">
        <v>30</v>
      </c>
      <c r="I84">
        <v>-7.8249680000000001</v>
      </c>
      <c r="J84">
        <v>110.154332</v>
      </c>
      <c r="K84">
        <v>3.141</v>
      </c>
      <c r="L84">
        <v>31.491</v>
      </c>
      <c r="M84">
        <v>10.0267</v>
      </c>
      <c r="N84" t="s">
        <v>31</v>
      </c>
      <c r="O84" t="s">
        <v>346</v>
      </c>
      <c r="P84">
        <v>31.491</v>
      </c>
      <c r="Q84">
        <v>0</v>
      </c>
      <c r="R84" s="2" t="s">
        <v>103</v>
      </c>
      <c r="S84" s="2" t="s">
        <v>83</v>
      </c>
      <c r="T84" s="2" t="s">
        <v>372</v>
      </c>
      <c r="U84" s="3" t="s">
        <v>35</v>
      </c>
      <c r="V84" s="3"/>
      <c r="W84" t="str">
        <f t="shared" si="1"/>
        <v>Y</v>
      </c>
      <c r="X84" s="3" t="s">
        <v>348</v>
      </c>
      <c r="Y84" s="3" t="s">
        <v>366</v>
      </c>
      <c r="Z84" s="3"/>
    </row>
    <row r="85" spans="1:26" x14ac:dyDescent="0.3">
      <c r="A85">
        <v>7644</v>
      </c>
      <c r="B85" t="s">
        <v>105</v>
      </c>
      <c r="C85" t="s">
        <v>345</v>
      </c>
      <c r="D85" t="s">
        <v>74</v>
      </c>
      <c r="E85">
        <v>-7.8610899999999999</v>
      </c>
      <c r="F85">
        <v>110.16731299999999</v>
      </c>
      <c r="G85" t="s">
        <v>95</v>
      </c>
      <c r="H85" t="s">
        <v>40</v>
      </c>
      <c r="I85">
        <v>-7.8589969999999996</v>
      </c>
      <c r="J85">
        <v>110.165148</v>
      </c>
      <c r="K85">
        <v>4.1559999999999997</v>
      </c>
      <c r="L85">
        <v>31.181000000000001</v>
      </c>
      <c r="M85">
        <v>7.5019999999999998</v>
      </c>
      <c r="N85" t="s">
        <v>31</v>
      </c>
      <c r="O85" t="s">
        <v>346</v>
      </c>
      <c r="P85">
        <v>31.181000000000001</v>
      </c>
      <c r="Q85">
        <v>0</v>
      </c>
      <c r="R85" s="2" t="s">
        <v>106</v>
      </c>
      <c r="S85" s="2" t="s">
        <v>97</v>
      </c>
      <c r="T85" s="2" t="s">
        <v>373</v>
      </c>
      <c r="U85" s="3" t="s">
        <v>35</v>
      </c>
      <c r="V85" s="3"/>
      <c r="W85" t="str">
        <f t="shared" si="1"/>
        <v>Y</v>
      </c>
      <c r="X85" s="3" t="s">
        <v>348</v>
      </c>
      <c r="Y85" s="3" t="s">
        <v>37</v>
      </c>
      <c r="Z85" s="3"/>
    </row>
    <row r="86" spans="1:26" x14ac:dyDescent="0.3">
      <c r="A86">
        <v>7834</v>
      </c>
      <c r="B86" t="s">
        <v>108</v>
      </c>
      <c r="C86" t="s">
        <v>345</v>
      </c>
      <c r="D86" t="s">
        <v>109</v>
      </c>
      <c r="E86">
        <v>-7.766114</v>
      </c>
      <c r="F86">
        <v>110.16387400000001</v>
      </c>
      <c r="G86" t="s">
        <v>110</v>
      </c>
      <c r="H86" t="s">
        <v>40</v>
      </c>
      <c r="I86">
        <v>-7.7644149999999996</v>
      </c>
      <c r="J86">
        <v>110.16632300000001</v>
      </c>
      <c r="K86">
        <v>4.1120000000000001</v>
      </c>
      <c r="L86">
        <v>73.260000000000005</v>
      </c>
      <c r="M86">
        <v>17.816600000000001</v>
      </c>
      <c r="N86" t="s">
        <v>31</v>
      </c>
      <c r="O86" t="s">
        <v>346</v>
      </c>
      <c r="P86">
        <v>73.260000000000005</v>
      </c>
      <c r="Q86">
        <v>0</v>
      </c>
      <c r="R86" s="2" t="s">
        <v>111</v>
      </c>
      <c r="S86" s="2" t="s">
        <v>112</v>
      </c>
      <c r="T86" s="2" t="s">
        <v>374</v>
      </c>
      <c r="U86" s="3" t="s">
        <v>114</v>
      </c>
      <c r="V86" s="3" t="s">
        <v>115</v>
      </c>
      <c r="W86" t="str">
        <f t="shared" si="1"/>
        <v>Y</v>
      </c>
      <c r="X86" s="3" t="s">
        <v>348</v>
      </c>
      <c r="Y86" s="3" t="s">
        <v>375</v>
      </c>
      <c r="Z86" s="3" t="s">
        <v>376</v>
      </c>
    </row>
    <row r="87" spans="1:26" x14ac:dyDescent="0.3">
      <c r="A87">
        <v>7857</v>
      </c>
      <c r="B87" t="s">
        <v>118</v>
      </c>
      <c r="C87" t="s">
        <v>345</v>
      </c>
      <c r="D87" t="s">
        <v>60</v>
      </c>
      <c r="E87">
        <v>-7.8719039999999998</v>
      </c>
      <c r="F87">
        <v>110.147336</v>
      </c>
      <c r="G87" t="s">
        <v>61</v>
      </c>
      <c r="H87" t="s">
        <v>30</v>
      </c>
      <c r="I87">
        <v>-7.872052</v>
      </c>
      <c r="J87">
        <v>110.15073</v>
      </c>
      <c r="K87">
        <v>4.6820000000000004</v>
      </c>
      <c r="L87">
        <v>31.312000000000001</v>
      </c>
      <c r="M87">
        <v>6.6883999999999997</v>
      </c>
      <c r="N87" t="s">
        <v>31</v>
      </c>
      <c r="O87" t="s">
        <v>346</v>
      </c>
      <c r="P87">
        <v>31.312000000000001</v>
      </c>
      <c r="Q87">
        <v>0</v>
      </c>
      <c r="R87" s="2" t="s">
        <v>119</v>
      </c>
      <c r="S87" s="2" t="s">
        <v>63</v>
      </c>
      <c r="T87" s="2" t="s">
        <v>377</v>
      </c>
      <c r="U87" s="3" t="s">
        <v>35</v>
      </c>
      <c r="V87" s="3"/>
      <c r="W87" t="str">
        <f t="shared" si="1"/>
        <v>Y</v>
      </c>
      <c r="X87" s="3" t="s">
        <v>348</v>
      </c>
      <c r="Y87" s="3" t="s">
        <v>37</v>
      </c>
      <c r="Z87" s="3"/>
    </row>
    <row r="88" spans="1:26" x14ac:dyDescent="0.3">
      <c r="A88">
        <v>8286</v>
      </c>
      <c r="B88" t="s">
        <v>121</v>
      </c>
      <c r="C88" t="s">
        <v>345</v>
      </c>
      <c r="D88" t="s">
        <v>122</v>
      </c>
      <c r="E88">
        <v>-7.8439199999999998</v>
      </c>
      <c r="F88">
        <v>110.174604</v>
      </c>
      <c r="G88" t="s">
        <v>123</v>
      </c>
      <c r="H88" t="s">
        <v>40</v>
      </c>
      <c r="I88">
        <v>-7.8453580000000001</v>
      </c>
      <c r="J88">
        <v>110.17232</v>
      </c>
      <c r="K88">
        <v>3.7229999999999999</v>
      </c>
      <c r="L88">
        <v>30.913</v>
      </c>
      <c r="M88">
        <v>8.3030000000000008</v>
      </c>
      <c r="N88" t="s">
        <v>31</v>
      </c>
      <c r="O88" t="s">
        <v>346</v>
      </c>
      <c r="P88">
        <v>30.913</v>
      </c>
      <c r="Q88">
        <v>0</v>
      </c>
      <c r="R88" s="2" t="s">
        <v>124</v>
      </c>
      <c r="S88" s="2" t="s">
        <v>125</v>
      </c>
      <c r="T88" s="2" t="s">
        <v>378</v>
      </c>
      <c r="U88" s="3" t="s">
        <v>35</v>
      </c>
      <c r="V88" s="3"/>
      <c r="W88" t="str">
        <f t="shared" si="1"/>
        <v>Y</v>
      </c>
      <c r="X88" s="3" t="s">
        <v>348</v>
      </c>
      <c r="Y88" s="3" t="s">
        <v>37</v>
      </c>
      <c r="Z88" s="3"/>
    </row>
    <row r="89" spans="1:26" x14ac:dyDescent="0.3">
      <c r="A89">
        <v>8538</v>
      </c>
      <c r="B89" t="s">
        <v>127</v>
      </c>
      <c r="C89" t="s">
        <v>345</v>
      </c>
      <c r="D89" t="s">
        <v>28</v>
      </c>
      <c r="E89">
        <v>-7.8800379999999999</v>
      </c>
      <c r="F89">
        <v>110.144598</v>
      </c>
      <c r="G89" t="s">
        <v>39</v>
      </c>
      <c r="H89" t="s">
        <v>40</v>
      </c>
      <c r="I89">
        <v>-7.8802320000000003</v>
      </c>
      <c r="J89">
        <v>110.142826</v>
      </c>
      <c r="K89">
        <v>2.456</v>
      </c>
      <c r="L89">
        <v>43.966999999999999</v>
      </c>
      <c r="M89">
        <v>17.900700000000001</v>
      </c>
      <c r="N89" t="s">
        <v>31</v>
      </c>
      <c r="O89" t="s">
        <v>346</v>
      </c>
      <c r="P89">
        <v>43.966999999999999</v>
      </c>
      <c r="Q89">
        <v>0</v>
      </c>
      <c r="R89" s="2" t="s">
        <v>128</v>
      </c>
      <c r="S89" s="2" t="s">
        <v>42</v>
      </c>
      <c r="T89" s="2" t="s">
        <v>379</v>
      </c>
      <c r="U89" s="3" t="s">
        <v>35</v>
      </c>
      <c r="V89" s="3"/>
      <c r="W89" t="str">
        <f t="shared" si="1"/>
        <v>Y</v>
      </c>
      <c r="X89" s="3" t="s">
        <v>348</v>
      </c>
      <c r="Y89" s="3" t="s">
        <v>37</v>
      </c>
      <c r="Z89" s="3"/>
    </row>
    <row r="90" spans="1:26" x14ac:dyDescent="0.3">
      <c r="A90">
        <v>8750</v>
      </c>
      <c r="B90" t="s">
        <v>130</v>
      </c>
      <c r="C90" t="s">
        <v>345</v>
      </c>
      <c r="D90" t="s">
        <v>131</v>
      </c>
      <c r="E90">
        <v>-7.7607280000000003</v>
      </c>
      <c r="F90">
        <v>110.184742</v>
      </c>
      <c r="G90" t="s">
        <v>132</v>
      </c>
      <c r="H90" t="s">
        <v>40</v>
      </c>
      <c r="I90">
        <v>-7.7579419999999999</v>
      </c>
      <c r="J90">
        <v>110.18624800000001</v>
      </c>
      <c r="K90">
        <v>4.3739999999999997</v>
      </c>
      <c r="L90">
        <v>53.478000000000002</v>
      </c>
      <c r="M90">
        <v>12.2272</v>
      </c>
      <c r="N90" t="s">
        <v>31</v>
      </c>
      <c r="O90" t="s">
        <v>346</v>
      </c>
      <c r="P90">
        <v>53.478000000000002</v>
      </c>
      <c r="Q90">
        <v>0</v>
      </c>
      <c r="R90" s="2" t="s">
        <v>133</v>
      </c>
      <c r="S90" s="2" t="s">
        <v>134</v>
      </c>
      <c r="T90" s="2" t="s">
        <v>380</v>
      </c>
      <c r="U90" s="3" t="s">
        <v>114</v>
      </c>
      <c r="V90" s="3" t="s">
        <v>115</v>
      </c>
      <c r="W90" t="str">
        <f t="shared" si="1"/>
        <v>Y</v>
      </c>
      <c r="X90" s="3" t="s">
        <v>348</v>
      </c>
      <c r="Y90" s="3" t="s">
        <v>381</v>
      </c>
      <c r="Z90" s="3" t="s">
        <v>382</v>
      </c>
    </row>
    <row r="91" spans="1:26" x14ac:dyDescent="0.3">
      <c r="A91">
        <v>8934</v>
      </c>
      <c r="B91" t="s">
        <v>137</v>
      </c>
      <c r="C91" t="s">
        <v>345</v>
      </c>
      <c r="D91" t="s">
        <v>28</v>
      </c>
      <c r="E91">
        <v>-7.8809430000000003</v>
      </c>
      <c r="F91">
        <v>110.14459600000001</v>
      </c>
      <c r="G91" t="s">
        <v>39</v>
      </c>
      <c r="H91" t="s">
        <v>40</v>
      </c>
      <c r="I91">
        <v>-7.8802320000000003</v>
      </c>
      <c r="J91">
        <v>110.142826</v>
      </c>
      <c r="K91">
        <v>2.629</v>
      </c>
      <c r="L91">
        <v>42.805</v>
      </c>
      <c r="M91">
        <v>16.2789</v>
      </c>
      <c r="N91" t="s">
        <v>31</v>
      </c>
      <c r="O91" t="s">
        <v>346</v>
      </c>
      <c r="P91">
        <v>42.805</v>
      </c>
      <c r="Q91">
        <v>0</v>
      </c>
      <c r="R91" s="2" t="s">
        <v>138</v>
      </c>
      <c r="S91" s="2" t="s">
        <v>42</v>
      </c>
      <c r="T91" s="2" t="s">
        <v>383</v>
      </c>
      <c r="U91" s="3" t="s">
        <v>35</v>
      </c>
      <c r="V91" s="3"/>
      <c r="W91" t="str">
        <f t="shared" si="1"/>
        <v>Y</v>
      </c>
      <c r="X91" s="3" t="s">
        <v>348</v>
      </c>
      <c r="Y91" s="3" t="s">
        <v>37</v>
      </c>
      <c r="Z91" s="3"/>
    </row>
    <row r="92" spans="1:26" x14ac:dyDescent="0.3">
      <c r="A92">
        <v>8955</v>
      </c>
      <c r="B92" t="s">
        <v>140</v>
      </c>
      <c r="C92" t="s">
        <v>345</v>
      </c>
      <c r="D92" t="s">
        <v>74</v>
      </c>
      <c r="E92">
        <v>-7.8601869999999998</v>
      </c>
      <c r="F92">
        <v>110.168222</v>
      </c>
      <c r="G92" t="s">
        <v>95</v>
      </c>
      <c r="H92" t="s">
        <v>40</v>
      </c>
      <c r="I92">
        <v>-7.8589969999999996</v>
      </c>
      <c r="J92">
        <v>110.165148</v>
      </c>
      <c r="K92">
        <v>4.5449999999999999</v>
      </c>
      <c r="L92">
        <v>33.823</v>
      </c>
      <c r="M92">
        <v>7.4417</v>
      </c>
      <c r="N92" t="s">
        <v>31</v>
      </c>
      <c r="O92" t="s">
        <v>346</v>
      </c>
      <c r="P92">
        <v>33.823</v>
      </c>
      <c r="Q92">
        <v>0</v>
      </c>
      <c r="R92" s="2" t="s">
        <v>141</v>
      </c>
      <c r="S92" s="2" t="s">
        <v>97</v>
      </c>
      <c r="T92" s="2" t="s">
        <v>384</v>
      </c>
      <c r="U92" s="3" t="s">
        <v>35</v>
      </c>
      <c r="V92" s="3"/>
      <c r="W92" t="str">
        <f t="shared" si="1"/>
        <v>Y</v>
      </c>
      <c r="X92" s="3" t="s">
        <v>348</v>
      </c>
      <c r="Y92" s="3" t="s">
        <v>37</v>
      </c>
      <c r="Z92" s="3"/>
    </row>
    <row r="93" spans="1:26" x14ac:dyDescent="0.3">
      <c r="A93">
        <v>9061</v>
      </c>
      <c r="B93" t="s">
        <v>143</v>
      </c>
      <c r="C93" t="s">
        <v>345</v>
      </c>
      <c r="D93" t="s">
        <v>28</v>
      </c>
      <c r="E93">
        <v>-7.8791339999999996</v>
      </c>
      <c r="F93">
        <v>110.1446</v>
      </c>
      <c r="G93" t="s">
        <v>39</v>
      </c>
      <c r="H93" t="s">
        <v>40</v>
      </c>
      <c r="I93">
        <v>-7.8802320000000003</v>
      </c>
      <c r="J93">
        <v>110.142826</v>
      </c>
      <c r="K93">
        <v>2.8769999999999998</v>
      </c>
      <c r="L93">
        <v>45.734000000000002</v>
      </c>
      <c r="M93">
        <v>15.8972</v>
      </c>
      <c r="N93" t="s">
        <v>31</v>
      </c>
      <c r="O93" t="s">
        <v>346</v>
      </c>
      <c r="P93">
        <v>45.734000000000002</v>
      </c>
      <c r="Q93">
        <v>0</v>
      </c>
      <c r="R93" s="2" t="s">
        <v>144</v>
      </c>
      <c r="S93" s="2" t="s">
        <v>42</v>
      </c>
      <c r="T93" s="2" t="s">
        <v>385</v>
      </c>
      <c r="U93" s="3" t="s">
        <v>35</v>
      </c>
      <c r="V93" s="3"/>
      <c r="W93" t="str">
        <f t="shared" si="1"/>
        <v>Y</v>
      </c>
      <c r="X93" s="3" t="s">
        <v>348</v>
      </c>
      <c r="Y93" s="3" t="s">
        <v>37</v>
      </c>
      <c r="Z93" s="3"/>
    </row>
    <row r="94" spans="1:26" x14ac:dyDescent="0.3">
      <c r="A94">
        <v>9702</v>
      </c>
      <c r="B94" t="s">
        <v>146</v>
      </c>
      <c r="C94" t="s">
        <v>345</v>
      </c>
      <c r="D94" t="s">
        <v>147</v>
      </c>
      <c r="E94">
        <v>-7.8211810000000002</v>
      </c>
      <c r="F94">
        <v>110.11206799999999</v>
      </c>
      <c r="G94" t="s">
        <v>148</v>
      </c>
      <c r="H94" t="s">
        <v>40</v>
      </c>
      <c r="I94">
        <v>-7.819909</v>
      </c>
      <c r="J94">
        <v>110.112674</v>
      </c>
      <c r="K94">
        <v>1.9470000000000001</v>
      </c>
      <c r="L94">
        <v>33.704000000000001</v>
      </c>
      <c r="M94">
        <v>17.314</v>
      </c>
      <c r="N94" t="s">
        <v>31</v>
      </c>
      <c r="O94" t="s">
        <v>346</v>
      </c>
      <c r="P94">
        <v>33.704000000000001</v>
      </c>
      <c r="Q94">
        <v>0</v>
      </c>
      <c r="R94" s="2" t="s">
        <v>149</v>
      </c>
      <c r="S94" s="2" t="s">
        <v>150</v>
      </c>
      <c r="T94" s="2" t="s">
        <v>386</v>
      </c>
      <c r="U94" s="3" t="s">
        <v>152</v>
      </c>
      <c r="V94" s="3"/>
      <c r="W94" t="str">
        <f t="shared" si="1"/>
        <v>T</v>
      </c>
      <c r="X94" s="3" t="s">
        <v>348</v>
      </c>
      <c r="Y94" s="3" t="s">
        <v>387</v>
      </c>
      <c r="Z94" s="3"/>
    </row>
    <row r="95" spans="1:26" x14ac:dyDescent="0.3">
      <c r="A95">
        <v>10114</v>
      </c>
      <c r="B95" t="s">
        <v>154</v>
      </c>
      <c r="C95" t="s">
        <v>345</v>
      </c>
      <c r="D95" t="s">
        <v>45</v>
      </c>
      <c r="E95">
        <v>-7.8970209999999996</v>
      </c>
      <c r="F95">
        <v>110.051131</v>
      </c>
      <c r="G95" t="s">
        <v>46</v>
      </c>
      <c r="H95" t="s">
        <v>40</v>
      </c>
      <c r="I95">
        <v>-7.8935930000000001</v>
      </c>
      <c r="J95">
        <v>110.052037</v>
      </c>
      <c r="K95">
        <v>4.9000000000000004</v>
      </c>
      <c r="L95">
        <v>52.765000000000001</v>
      </c>
      <c r="M95">
        <v>10.7692</v>
      </c>
      <c r="N95" t="s">
        <v>31</v>
      </c>
      <c r="O95" t="s">
        <v>346</v>
      </c>
      <c r="P95">
        <v>52.765000000000001</v>
      </c>
      <c r="Q95">
        <v>0</v>
      </c>
      <c r="R95" s="2" t="s">
        <v>155</v>
      </c>
      <c r="S95" s="2" t="s">
        <v>48</v>
      </c>
      <c r="T95" s="2" t="s">
        <v>388</v>
      </c>
      <c r="U95" s="3" t="s">
        <v>157</v>
      </c>
      <c r="V95" s="3"/>
      <c r="W95" t="str">
        <f t="shared" si="1"/>
        <v>Y</v>
      </c>
      <c r="X95" s="3" t="s">
        <v>348</v>
      </c>
      <c r="Y95" s="3" t="s">
        <v>158</v>
      </c>
      <c r="Z95" s="3"/>
    </row>
    <row r="96" spans="1:26" x14ac:dyDescent="0.3">
      <c r="A96">
        <v>10293</v>
      </c>
      <c r="B96" t="s">
        <v>159</v>
      </c>
      <c r="C96" t="s">
        <v>345</v>
      </c>
      <c r="D96" t="s">
        <v>66</v>
      </c>
      <c r="E96">
        <v>-7.8258109999999999</v>
      </c>
      <c r="F96">
        <v>110.164663</v>
      </c>
      <c r="G96" t="s">
        <v>67</v>
      </c>
      <c r="H96" t="s">
        <v>68</v>
      </c>
      <c r="I96">
        <v>-7.8266489999999997</v>
      </c>
      <c r="J96">
        <v>110.161965</v>
      </c>
      <c r="K96">
        <v>3.8940000000000001</v>
      </c>
      <c r="L96">
        <v>43.121000000000002</v>
      </c>
      <c r="M96">
        <v>11.074299999999999</v>
      </c>
      <c r="N96" t="s">
        <v>31</v>
      </c>
      <c r="O96" t="s">
        <v>346</v>
      </c>
      <c r="P96">
        <v>43.121000000000002</v>
      </c>
      <c r="Q96">
        <v>0</v>
      </c>
      <c r="R96" s="2" t="s">
        <v>160</v>
      </c>
      <c r="S96" s="2" t="s">
        <v>70</v>
      </c>
      <c r="T96" s="2" t="s">
        <v>389</v>
      </c>
      <c r="U96" s="3" t="s">
        <v>35</v>
      </c>
      <c r="V96" s="3"/>
      <c r="W96" t="str">
        <f t="shared" si="1"/>
        <v>Y</v>
      </c>
      <c r="X96" s="3" t="s">
        <v>348</v>
      </c>
      <c r="Y96" s="3" t="s">
        <v>72</v>
      </c>
      <c r="Z96" s="3"/>
    </row>
    <row r="97" spans="1:26" x14ac:dyDescent="0.3">
      <c r="A97">
        <v>10545</v>
      </c>
      <c r="B97" t="s">
        <v>162</v>
      </c>
      <c r="C97" t="s">
        <v>345</v>
      </c>
      <c r="D97" t="s">
        <v>163</v>
      </c>
      <c r="E97">
        <v>-7.8031740000000003</v>
      </c>
      <c r="F97">
        <v>110.152011</v>
      </c>
      <c r="G97" t="s">
        <v>164</v>
      </c>
      <c r="H97" t="s">
        <v>40</v>
      </c>
      <c r="I97">
        <v>-7.8054230000000002</v>
      </c>
      <c r="J97">
        <v>110.150704</v>
      </c>
      <c r="K97">
        <v>3.5920000000000001</v>
      </c>
      <c r="L97">
        <v>39.106999999999999</v>
      </c>
      <c r="M97">
        <v>10.887600000000001</v>
      </c>
      <c r="N97" t="s">
        <v>31</v>
      </c>
      <c r="O97" t="s">
        <v>346</v>
      </c>
      <c r="P97">
        <v>39.106999999999999</v>
      </c>
      <c r="Q97">
        <v>0</v>
      </c>
      <c r="R97" s="2" t="s">
        <v>165</v>
      </c>
      <c r="S97" s="2" t="s">
        <v>166</v>
      </c>
      <c r="T97" s="2" t="s">
        <v>390</v>
      </c>
      <c r="U97" s="3" t="s">
        <v>115</v>
      </c>
      <c r="V97" s="3" t="s">
        <v>152</v>
      </c>
      <c r="W97" t="str">
        <f t="shared" si="1"/>
        <v>T</v>
      </c>
      <c r="X97" s="3" t="s">
        <v>348</v>
      </c>
      <c r="Y97" s="3" t="s">
        <v>391</v>
      </c>
      <c r="Z97" s="3" t="s">
        <v>392</v>
      </c>
    </row>
    <row r="98" spans="1:26" x14ac:dyDescent="0.3">
      <c r="A98">
        <v>11219</v>
      </c>
      <c r="B98" t="s">
        <v>169</v>
      </c>
      <c r="C98" t="s">
        <v>345</v>
      </c>
      <c r="D98" t="s">
        <v>170</v>
      </c>
      <c r="E98">
        <v>-7.9127650000000003</v>
      </c>
      <c r="F98">
        <v>110.229805</v>
      </c>
      <c r="G98" t="s">
        <v>171</v>
      </c>
      <c r="H98" t="s">
        <v>40</v>
      </c>
      <c r="I98">
        <v>-7.9104150000000004</v>
      </c>
      <c r="J98">
        <v>110.22888399999999</v>
      </c>
      <c r="K98">
        <v>3.4860000000000002</v>
      </c>
      <c r="L98">
        <v>31.533000000000001</v>
      </c>
      <c r="M98">
        <v>9.0455000000000005</v>
      </c>
      <c r="N98" t="s">
        <v>31</v>
      </c>
      <c r="O98" t="s">
        <v>346</v>
      </c>
      <c r="P98">
        <v>31.533000000000001</v>
      </c>
      <c r="Q98">
        <v>0</v>
      </c>
      <c r="R98" s="2" t="s">
        <v>172</v>
      </c>
      <c r="S98" s="2" t="s">
        <v>173</v>
      </c>
      <c r="T98" s="2" t="s">
        <v>393</v>
      </c>
      <c r="U98" s="3" t="s">
        <v>152</v>
      </c>
      <c r="V98" s="3"/>
      <c r="W98" t="str">
        <f t="shared" si="1"/>
        <v>T</v>
      </c>
      <c r="X98" s="3" t="s">
        <v>50</v>
      </c>
      <c r="Y98" s="3" t="s">
        <v>394</v>
      </c>
      <c r="Z98" s="3"/>
    </row>
    <row r="99" spans="1:26" x14ac:dyDescent="0.3">
      <c r="A99">
        <v>11746</v>
      </c>
      <c r="B99" t="s">
        <v>176</v>
      </c>
      <c r="C99" t="s">
        <v>345</v>
      </c>
      <c r="D99" t="s">
        <v>177</v>
      </c>
      <c r="E99">
        <v>-7.8139409999999998</v>
      </c>
      <c r="F99">
        <v>110.11027</v>
      </c>
      <c r="G99" t="s">
        <v>178</v>
      </c>
      <c r="H99" t="s">
        <v>40</v>
      </c>
      <c r="I99">
        <v>-7.8121790000000004</v>
      </c>
      <c r="J99">
        <v>110.11325600000001</v>
      </c>
      <c r="K99">
        <v>4.7830000000000004</v>
      </c>
      <c r="L99">
        <v>35.868000000000002</v>
      </c>
      <c r="M99">
        <v>7.4991000000000003</v>
      </c>
      <c r="N99" t="s">
        <v>31</v>
      </c>
      <c r="O99" t="s">
        <v>346</v>
      </c>
      <c r="P99">
        <v>35.868000000000002</v>
      </c>
      <c r="Q99">
        <v>0</v>
      </c>
      <c r="R99" s="2" t="s">
        <v>179</v>
      </c>
      <c r="S99" s="2" t="s">
        <v>180</v>
      </c>
      <c r="T99" s="2" t="s">
        <v>395</v>
      </c>
      <c r="U99" s="3" t="s">
        <v>35</v>
      </c>
      <c r="V99" s="3"/>
      <c r="W99" t="str">
        <f t="shared" si="1"/>
        <v>Y</v>
      </c>
      <c r="X99" s="3" t="s">
        <v>348</v>
      </c>
      <c r="Y99" s="3" t="s">
        <v>396</v>
      </c>
      <c r="Z99" s="3"/>
    </row>
    <row r="100" spans="1:26" x14ac:dyDescent="0.3">
      <c r="A100">
        <v>12710</v>
      </c>
      <c r="B100" t="s">
        <v>183</v>
      </c>
      <c r="C100" t="s">
        <v>345</v>
      </c>
      <c r="D100" t="s">
        <v>184</v>
      </c>
      <c r="E100">
        <v>-7.7895979999999998</v>
      </c>
      <c r="F100">
        <v>110.147503</v>
      </c>
      <c r="G100" t="s">
        <v>185</v>
      </c>
      <c r="H100" t="s">
        <v>40</v>
      </c>
      <c r="I100">
        <v>-7.7864170000000001</v>
      </c>
      <c r="J100">
        <v>110.147567</v>
      </c>
      <c r="K100">
        <v>4.3959999999999999</v>
      </c>
      <c r="L100">
        <v>30.626000000000001</v>
      </c>
      <c r="M100">
        <v>6.9667000000000003</v>
      </c>
      <c r="N100" t="s">
        <v>31</v>
      </c>
      <c r="O100" t="s">
        <v>346</v>
      </c>
      <c r="P100">
        <v>30.626000000000001</v>
      </c>
      <c r="Q100">
        <v>0</v>
      </c>
      <c r="R100" s="2" t="s">
        <v>186</v>
      </c>
      <c r="S100" s="2" t="s">
        <v>187</v>
      </c>
      <c r="T100" s="2" t="s">
        <v>397</v>
      </c>
      <c r="U100" s="3" t="s">
        <v>152</v>
      </c>
      <c r="V100" s="3"/>
      <c r="W100" t="str">
        <f t="shared" si="1"/>
        <v>T</v>
      </c>
      <c r="X100" s="3" t="s">
        <v>348</v>
      </c>
      <c r="Y100" s="3" t="s">
        <v>398</v>
      </c>
      <c r="Z100" s="3"/>
    </row>
    <row r="101" spans="1:26" x14ac:dyDescent="0.3">
      <c r="A101">
        <v>13173</v>
      </c>
      <c r="B101" t="s">
        <v>189</v>
      </c>
      <c r="C101" t="s">
        <v>345</v>
      </c>
      <c r="D101" t="s">
        <v>190</v>
      </c>
      <c r="E101">
        <v>-7.6928340000000004</v>
      </c>
      <c r="F101">
        <v>110.154951</v>
      </c>
      <c r="G101" t="s">
        <v>191</v>
      </c>
      <c r="H101" t="s">
        <v>30</v>
      </c>
      <c r="I101">
        <v>-7.691147</v>
      </c>
      <c r="J101">
        <v>110.154083</v>
      </c>
      <c r="K101">
        <v>2.621</v>
      </c>
      <c r="L101">
        <v>38.073</v>
      </c>
      <c r="M101">
        <v>14.5265</v>
      </c>
      <c r="N101" t="s">
        <v>31</v>
      </c>
      <c r="O101" t="s">
        <v>346</v>
      </c>
      <c r="P101">
        <v>38.073</v>
      </c>
      <c r="Q101">
        <v>0</v>
      </c>
      <c r="R101" s="2" t="s">
        <v>192</v>
      </c>
      <c r="S101" s="2" t="s">
        <v>193</v>
      </c>
      <c r="T101" s="2" t="s">
        <v>399</v>
      </c>
      <c r="U101" s="3" t="s">
        <v>152</v>
      </c>
      <c r="V101" s="3"/>
      <c r="W101" t="str">
        <f t="shared" si="1"/>
        <v>T</v>
      </c>
      <c r="X101" s="3" t="s">
        <v>348</v>
      </c>
      <c r="Y101" s="3" t="s">
        <v>400</v>
      </c>
      <c r="Z101" s="3"/>
    </row>
    <row r="102" spans="1:26" x14ac:dyDescent="0.3">
      <c r="A102">
        <v>13621</v>
      </c>
      <c r="B102" t="s">
        <v>195</v>
      </c>
      <c r="C102" t="s">
        <v>345</v>
      </c>
      <c r="D102" t="s">
        <v>196</v>
      </c>
      <c r="E102">
        <v>-7.7317910000000003</v>
      </c>
      <c r="F102">
        <v>110.188425</v>
      </c>
      <c r="G102" t="s">
        <v>197</v>
      </c>
      <c r="H102" t="s">
        <v>40</v>
      </c>
      <c r="I102">
        <v>-7.7336369999999999</v>
      </c>
      <c r="J102">
        <v>110.186243</v>
      </c>
      <c r="K102">
        <v>3.944</v>
      </c>
      <c r="L102">
        <v>32.634</v>
      </c>
      <c r="M102">
        <v>8.2745999999999995</v>
      </c>
      <c r="N102" t="s">
        <v>31</v>
      </c>
      <c r="O102" t="s">
        <v>346</v>
      </c>
      <c r="P102">
        <v>32.634</v>
      </c>
      <c r="Q102">
        <v>0</v>
      </c>
      <c r="R102" s="2" t="s">
        <v>198</v>
      </c>
      <c r="S102" s="2" t="s">
        <v>199</v>
      </c>
      <c r="T102" s="2" t="s">
        <v>401</v>
      </c>
      <c r="U102" s="3" t="s">
        <v>152</v>
      </c>
      <c r="V102" s="3"/>
      <c r="W102" t="str">
        <f t="shared" si="1"/>
        <v>T</v>
      </c>
      <c r="X102" s="3" t="s">
        <v>348</v>
      </c>
      <c r="Y102" s="3" t="s">
        <v>402</v>
      </c>
      <c r="Z102" s="3"/>
    </row>
    <row r="103" spans="1:26" x14ac:dyDescent="0.3">
      <c r="A103">
        <v>13946</v>
      </c>
      <c r="B103" t="s">
        <v>201</v>
      </c>
      <c r="C103" t="s">
        <v>345</v>
      </c>
      <c r="D103" t="s">
        <v>202</v>
      </c>
      <c r="E103">
        <v>-7.7552830000000004</v>
      </c>
      <c r="F103">
        <v>110.175684</v>
      </c>
      <c r="G103" t="s">
        <v>203</v>
      </c>
      <c r="H103" t="s">
        <v>40</v>
      </c>
      <c r="I103">
        <v>-7.754016</v>
      </c>
      <c r="J103">
        <v>110.176027</v>
      </c>
      <c r="K103">
        <v>1.8140000000000001</v>
      </c>
      <c r="L103">
        <v>60.933</v>
      </c>
      <c r="M103">
        <v>33.589700000000001</v>
      </c>
      <c r="N103" t="s">
        <v>31</v>
      </c>
      <c r="O103" t="s">
        <v>346</v>
      </c>
      <c r="P103">
        <v>60.933</v>
      </c>
      <c r="Q103">
        <v>0</v>
      </c>
      <c r="R103" s="2" t="s">
        <v>204</v>
      </c>
      <c r="S103" s="2" t="s">
        <v>205</v>
      </c>
      <c r="T103" s="2" t="s">
        <v>403</v>
      </c>
      <c r="U103" s="3" t="s">
        <v>152</v>
      </c>
      <c r="V103" s="3"/>
      <c r="W103" t="str">
        <f t="shared" si="1"/>
        <v>T</v>
      </c>
      <c r="X103" s="3" t="s">
        <v>348</v>
      </c>
      <c r="Y103" s="3" t="s">
        <v>404</v>
      </c>
      <c r="Z103" s="3"/>
    </row>
    <row r="104" spans="1:26" x14ac:dyDescent="0.3">
      <c r="A104">
        <v>13989</v>
      </c>
      <c r="B104" t="s">
        <v>207</v>
      </c>
      <c r="C104" t="s">
        <v>345</v>
      </c>
      <c r="D104" t="s">
        <v>45</v>
      </c>
      <c r="E104">
        <v>-7.8961189999999997</v>
      </c>
      <c r="F104">
        <v>110.05204000000001</v>
      </c>
      <c r="G104" t="s">
        <v>46</v>
      </c>
      <c r="H104" t="s">
        <v>40</v>
      </c>
      <c r="I104">
        <v>-7.8935930000000001</v>
      </c>
      <c r="J104">
        <v>110.052037</v>
      </c>
      <c r="K104">
        <v>3.4910000000000001</v>
      </c>
      <c r="L104">
        <v>50.963000000000001</v>
      </c>
      <c r="M104">
        <v>14.600099999999999</v>
      </c>
      <c r="N104" t="s">
        <v>31</v>
      </c>
      <c r="O104" t="s">
        <v>346</v>
      </c>
      <c r="P104">
        <v>50.963000000000001</v>
      </c>
      <c r="Q104">
        <v>0</v>
      </c>
      <c r="R104" s="2" t="s">
        <v>208</v>
      </c>
      <c r="S104" s="2" t="s">
        <v>48</v>
      </c>
      <c r="T104" s="2" t="s">
        <v>405</v>
      </c>
      <c r="U104" s="3" t="s">
        <v>157</v>
      </c>
      <c r="V104" s="3"/>
      <c r="W104" t="str">
        <f t="shared" si="1"/>
        <v>Y</v>
      </c>
      <c r="X104" s="3" t="s">
        <v>348</v>
      </c>
      <c r="Y104" s="3" t="s">
        <v>158</v>
      </c>
      <c r="Z104" s="3"/>
    </row>
    <row r="105" spans="1:26" x14ac:dyDescent="0.3">
      <c r="A105">
        <v>14225</v>
      </c>
      <c r="B105" t="s">
        <v>210</v>
      </c>
      <c r="C105" t="s">
        <v>345</v>
      </c>
      <c r="D105" t="s">
        <v>45</v>
      </c>
      <c r="E105">
        <v>-7.8970279999999997</v>
      </c>
      <c r="F105">
        <v>110.05385200000001</v>
      </c>
      <c r="G105" t="s">
        <v>211</v>
      </c>
      <c r="H105" t="s">
        <v>40</v>
      </c>
      <c r="I105">
        <v>-7.8961180000000004</v>
      </c>
      <c r="J105">
        <v>110.05466699999999</v>
      </c>
      <c r="K105">
        <v>1.6859999999999999</v>
      </c>
      <c r="L105">
        <v>48.284999999999997</v>
      </c>
      <c r="M105">
        <v>28.643899999999999</v>
      </c>
      <c r="N105" t="s">
        <v>31</v>
      </c>
      <c r="O105" t="s">
        <v>346</v>
      </c>
      <c r="P105">
        <v>48.284999999999997</v>
      </c>
      <c r="Q105">
        <v>0</v>
      </c>
      <c r="R105" s="2" t="s">
        <v>212</v>
      </c>
      <c r="S105" s="2" t="s">
        <v>213</v>
      </c>
      <c r="T105" s="2" t="s">
        <v>406</v>
      </c>
      <c r="U105" s="3" t="s">
        <v>157</v>
      </c>
      <c r="V105" s="3"/>
      <c r="W105" t="str">
        <f t="shared" si="1"/>
        <v>Y</v>
      </c>
      <c r="X105" s="3" t="s">
        <v>50</v>
      </c>
      <c r="Y105" s="3"/>
      <c r="Z105" s="3"/>
    </row>
    <row r="106" spans="1:26" x14ac:dyDescent="0.3">
      <c r="A106">
        <v>14254</v>
      </c>
      <c r="B106" t="s">
        <v>215</v>
      </c>
      <c r="C106" t="s">
        <v>345</v>
      </c>
      <c r="D106" t="s">
        <v>45</v>
      </c>
      <c r="E106">
        <v>-7.8961209999999999</v>
      </c>
      <c r="F106">
        <v>110.052947</v>
      </c>
      <c r="G106" t="s">
        <v>211</v>
      </c>
      <c r="H106" t="s">
        <v>40</v>
      </c>
      <c r="I106">
        <v>-7.8961180000000004</v>
      </c>
      <c r="J106">
        <v>110.05466699999999</v>
      </c>
      <c r="K106">
        <v>2.37</v>
      </c>
      <c r="L106">
        <v>49.148000000000003</v>
      </c>
      <c r="M106">
        <v>20.734999999999999</v>
      </c>
      <c r="N106" t="s">
        <v>31</v>
      </c>
      <c r="O106" t="s">
        <v>346</v>
      </c>
      <c r="P106">
        <v>49.148000000000003</v>
      </c>
      <c r="Q106">
        <v>0</v>
      </c>
      <c r="R106" s="4" t="s">
        <v>216</v>
      </c>
      <c r="S106" s="2" t="s">
        <v>213</v>
      </c>
      <c r="T106" s="2" t="s">
        <v>407</v>
      </c>
      <c r="U106" s="3" t="s">
        <v>157</v>
      </c>
      <c r="V106" s="3"/>
      <c r="W106" t="str">
        <f t="shared" si="1"/>
        <v>Y</v>
      </c>
      <c r="X106" s="3" t="s">
        <v>50</v>
      </c>
      <c r="Y106" s="3"/>
      <c r="Z106" s="3" t="s">
        <v>218</v>
      </c>
    </row>
    <row r="107" spans="1:26" x14ac:dyDescent="0.3">
      <c r="A107">
        <v>14598</v>
      </c>
      <c r="B107" t="s">
        <v>219</v>
      </c>
      <c r="C107" t="s">
        <v>345</v>
      </c>
      <c r="D107" t="s">
        <v>196</v>
      </c>
      <c r="E107">
        <v>-7.7281700000000004</v>
      </c>
      <c r="F107">
        <v>110.186618</v>
      </c>
      <c r="G107" t="s">
        <v>220</v>
      </c>
      <c r="H107" t="s">
        <v>40</v>
      </c>
      <c r="I107">
        <v>-7.7280069999999998</v>
      </c>
      <c r="J107">
        <v>110.18629300000001</v>
      </c>
      <c r="K107">
        <v>0.625</v>
      </c>
      <c r="L107">
        <v>51.320999999999998</v>
      </c>
      <c r="M107">
        <v>82.112899999999996</v>
      </c>
      <c r="N107" t="s">
        <v>31</v>
      </c>
      <c r="O107" t="s">
        <v>346</v>
      </c>
      <c r="P107">
        <v>51.320999999999998</v>
      </c>
      <c r="Q107">
        <v>0</v>
      </c>
      <c r="R107" s="2" t="s">
        <v>221</v>
      </c>
      <c r="S107" s="2" t="s">
        <v>222</v>
      </c>
      <c r="T107" s="2" t="s">
        <v>408</v>
      </c>
      <c r="U107" s="3" t="s">
        <v>114</v>
      </c>
      <c r="V107" s="3"/>
      <c r="W107" t="str">
        <f t="shared" si="1"/>
        <v>Y</v>
      </c>
      <c r="X107" s="3" t="s">
        <v>50</v>
      </c>
      <c r="Y107" s="3" t="s">
        <v>409</v>
      </c>
      <c r="Z107" s="3"/>
    </row>
    <row r="108" spans="1:26" x14ac:dyDescent="0.3">
      <c r="A108">
        <v>14867</v>
      </c>
      <c r="B108" t="s">
        <v>225</v>
      </c>
      <c r="C108" t="s">
        <v>345</v>
      </c>
      <c r="D108" t="s">
        <v>45</v>
      </c>
      <c r="E108">
        <v>-7.8988360000000002</v>
      </c>
      <c r="F108">
        <v>110.053848</v>
      </c>
      <c r="G108" t="s">
        <v>211</v>
      </c>
      <c r="H108" t="s">
        <v>40</v>
      </c>
      <c r="I108">
        <v>-7.8961180000000004</v>
      </c>
      <c r="J108">
        <v>110.05466699999999</v>
      </c>
      <c r="K108">
        <v>3.923</v>
      </c>
      <c r="L108">
        <v>55.817</v>
      </c>
      <c r="M108">
        <v>14.228400000000001</v>
      </c>
      <c r="N108" t="s">
        <v>31</v>
      </c>
      <c r="O108" t="s">
        <v>346</v>
      </c>
      <c r="P108">
        <v>55.817</v>
      </c>
      <c r="Q108">
        <v>0</v>
      </c>
      <c r="R108" s="2" t="s">
        <v>226</v>
      </c>
      <c r="S108" s="2" t="s">
        <v>213</v>
      </c>
      <c r="T108" s="2" t="s">
        <v>410</v>
      </c>
      <c r="U108" s="3" t="s">
        <v>157</v>
      </c>
      <c r="V108" s="3"/>
      <c r="W108" t="str">
        <f t="shared" si="1"/>
        <v>Y</v>
      </c>
      <c r="X108" s="3" t="s">
        <v>348</v>
      </c>
      <c r="Y108" s="3" t="s">
        <v>158</v>
      </c>
      <c r="Z108" s="3"/>
    </row>
    <row r="109" spans="1:26" x14ac:dyDescent="0.3">
      <c r="A109">
        <v>15595</v>
      </c>
      <c r="B109" t="s">
        <v>228</v>
      </c>
      <c r="C109" t="s">
        <v>345</v>
      </c>
      <c r="D109" t="s">
        <v>229</v>
      </c>
      <c r="E109">
        <v>-7.8961309999999996</v>
      </c>
      <c r="F109">
        <v>110.05748199999999</v>
      </c>
      <c r="G109" t="s">
        <v>230</v>
      </c>
      <c r="H109" t="s">
        <v>40</v>
      </c>
      <c r="I109">
        <v>-7.8956419999999996</v>
      </c>
      <c r="J109">
        <v>110.05801200000001</v>
      </c>
      <c r="K109">
        <v>0.995</v>
      </c>
      <c r="L109">
        <v>42.651000000000003</v>
      </c>
      <c r="M109">
        <v>42.875599999999999</v>
      </c>
      <c r="N109" t="s">
        <v>31</v>
      </c>
      <c r="O109" t="s">
        <v>346</v>
      </c>
      <c r="P109">
        <v>42.651000000000003</v>
      </c>
      <c r="Q109">
        <v>0</v>
      </c>
      <c r="R109" s="2" t="s">
        <v>231</v>
      </c>
      <c r="S109" s="2" t="s">
        <v>232</v>
      </c>
      <c r="T109" s="2" t="s">
        <v>411</v>
      </c>
      <c r="U109" s="3" t="s">
        <v>157</v>
      </c>
      <c r="V109" s="3"/>
      <c r="W109" t="str">
        <f t="shared" si="1"/>
        <v>Y</v>
      </c>
      <c r="X109" s="3" t="s">
        <v>348</v>
      </c>
      <c r="Y109" s="3" t="s">
        <v>158</v>
      </c>
      <c r="Z109" s="3"/>
    </row>
    <row r="110" spans="1:26" x14ac:dyDescent="0.3">
      <c r="A110">
        <v>16007</v>
      </c>
      <c r="B110" t="s">
        <v>234</v>
      </c>
      <c r="C110" t="s">
        <v>345</v>
      </c>
      <c r="D110" t="s">
        <v>235</v>
      </c>
      <c r="E110">
        <v>-7.9107560000000001</v>
      </c>
      <c r="F110">
        <v>110.12820600000001</v>
      </c>
      <c r="G110" t="s">
        <v>236</v>
      </c>
      <c r="H110" t="s">
        <v>40</v>
      </c>
      <c r="I110">
        <v>-7.9080120000000003</v>
      </c>
      <c r="J110">
        <v>110.129045</v>
      </c>
      <c r="K110">
        <v>3.9649999999999999</v>
      </c>
      <c r="L110">
        <v>31.606999999999999</v>
      </c>
      <c r="M110">
        <v>7.9722</v>
      </c>
      <c r="N110" t="s">
        <v>31</v>
      </c>
      <c r="O110" t="s">
        <v>346</v>
      </c>
      <c r="P110">
        <v>31.606999999999999</v>
      </c>
      <c r="Q110">
        <v>0</v>
      </c>
      <c r="R110" s="2" t="s">
        <v>237</v>
      </c>
      <c r="S110" s="2" t="s">
        <v>238</v>
      </c>
      <c r="T110" s="2" t="s">
        <v>412</v>
      </c>
      <c r="U110" s="3" t="s">
        <v>35</v>
      </c>
      <c r="V110" s="3"/>
      <c r="W110" t="str">
        <f t="shared" si="1"/>
        <v>Y</v>
      </c>
      <c r="X110" s="3" t="s">
        <v>348</v>
      </c>
      <c r="Y110" s="3" t="s">
        <v>37</v>
      </c>
      <c r="Z110" s="3"/>
    </row>
    <row r="111" spans="1:26" x14ac:dyDescent="0.3">
      <c r="A111">
        <v>16123</v>
      </c>
      <c r="B111" t="s">
        <v>241</v>
      </c>
      <c r="C111" t="s">
        <v>345</v>
      </c>
      <c r="D111" t="s">
        <v>45</v>
      </c>
      <c r="E111">
        <v>-7.8979280000000003</v>
      </c>
      <c r="F111">
        <v>110.052036</v>
      </c>
      <c r="G111" t="s">
        <v>211</v>
      </c>
      <c r="H111" t="s">
        <v>40</v>
      </c>
      <c r="I111">
        <v>-7.8961180000000004</v>
      </c>
      <c r="J111">
        <v>110.05466699999999</v>
      </c>
      <c r="K111">
        <v>4.4050000000000002</v>
      </c>
      <c r="L111">
        <v>52.555</v>
      </c>
      <c r="M111">
        <v>11.9307</v>
      </c>
      <c r="N111" t="s">
        <v>31</v>
      </c>
      <c r="O111" t="s">
        <v>346</v>
      </c>
      <c r="P111">
        <v>52.555</v>
      </c>
      <c r="Q111">
        <v>0</v>
      </c>
      <c r="R111" s="2" t="s">
        <v>242</v>
      </c>
      <c r="S111" s="2" t="s">
        <v>213</v>
      </c>
      <c r="T111" s="2" t="s">
        <v>413</v>
      </c>
      <c r="U111" s="3" t="s">
        <v>157</v>
      </c>
      <c r="V111" s="3"/>
      <c r="W111" t="str">
        <f t="shared" si="1"/>
        <v>Y</v>
      </c>
      <c r="X111" s="3" t="s">
        <v>348</v>
      </c>
      <c r="Y111" s="3" t="s">
        <v>158</v>
      </c>
      <c r="Z111" s="3"/>
    </row>
    <row r="112" spans="1:26" x14ac:dyDescent="0.3">
      <c r="A112">
        <v>16216</v>
      </c>
      <c r="B112" t="s">
        <v>244</v>
      </c>
      <c r="C112" t="s">
        <v>345</v>
      </c>
      <c r="D112" t="s">
        <v>196</v>
      </c>
      <c r="E112">
        <v>-7.7317900000000002</v>
      </c>
      <c r="F112">
        <v>110.187518</v>
      </c>
      <c r="G112" t="s">
        <v>197</v>
      </c>
      <c r="H112" t="s">
        <v>40</v>
      </c>
      <c r="I112">
        <v>-7.7336369999999999</v>
      </c>
      <c r="J112">
        <v>110.186243</v>
      </c>
      <c r="K112">
        <v>3.1</v>
      </c>
      <c r="L112">
        <v>35.024999999999999</v>
      </c>
      <c r="M112">
        <v>11.299200000000001</v>
      </c>
      <c r="N112" t="s">
        <v>31</v>
      </c>
      <c r="O112" t="s">
        <v>346</v>
      </c>
      <c r="P112">
        <v>35.024999999999999</v>
      </c>
      <c r="Q112">
        <v>0</v>
      </c>
      <c r="R112" s="2" t="s">
        <v>245</v>
      </c>
      <c r="S112" s="2" t="s">
        <v>199</v>
      </c>
      <c r="T112" s="2" t="s">
        <v>414</v>
      </c>
      <c r="U112" s="3" t="s">
        <v>114</v>
      </c>
      <c r="V112" s="3" t="s">
        <v>152</v>
      </c>
      <c r="W112" t="str">
        <f t="shared" si="1"/>
        <v>Y</v>
      </c>
      <c r="X112" s="3" t="s">
        <v>50</v>
      </c>
      <c r="Y112" s="3" t="s">
        <v>415</v>
      </c>
      <c r="Z112" s="3"/>
    </row>
    <row r="113" spans="1:26" x14ac:dyDescent="0.3">
      <c r="A113">
        <v>16428</v>
      </c>
      <c r="B113" t="s">
        <v>416</v>
      </c>
      <c r="C113" t="s">
        <v>345</v>
      </c>
      <c r="E113">
        <v>-7.9306520000000003</v>
      </c>
      <c r="F113">
        <v>110.127257</v>
      </c>
      <c r="G113" t="s">
        <v>357</v>
      </c>
      <c r="H113" t="s">
        <v>30</v>
      </c>
      <c r="I113">
        <v>-7.9278620000000002</v>
      </c>
      <c r="J113">
        <v>110.128547</v>
      </c>
      <c r="K113">
        <v>4.2460000000000004</v>
      </c>
      <c r="L113">
        <v>37.645000000000003</v>
      </c>
      <c r="M113">
        <v>8.8651999999999997</v>
      </c>
      <c r="N113" t="s">
        <v>31</v>
      </c>
      <c r="O113" t="s">
        <v>358</v>
      </c>
      <c r="P113">
        <v>18.741</v>
      </c>
      <c r="Q113">
        <v>18.905000000000001</v>
      </c>
      <c r="R113" s="2" t="s">
        <v>417</v>
      </c>
      <c r="S113" s="2" t="s">
        <v>360</v>
      </c>
      <c r="T113" s="2" t="s">
        <v>418</v>
      </c>
      <c r="U113" s="3" t="s">
        <v>353</v>
      </c>
      <c r="V113" s="3"/>
      <c r="W113" t="str">
        <f t="shared" si="1"/>
        <v>Y</v>
      </c>
      <c r="X113" s="3" t="s">
        <v>348</v>
      </c>
      <c r="Y113" s="3" t="s">
        <v>362</v>
      </c>
      <c r="Z113" s="3"/>
    </row>
    <row r="114" spans="1:26" x14ac:dyDescent="0.3">
      <c r="A114">
        <v>16438</v>
      </c>
      <c r="B114" t="s">
        <v>248</v>
      </c>
      <c r="C114" t="s">
        <v>345</v>
      </c>
      <c r="D114" t="s">
        <v>196</v>
      </c>
      <c r="E114">
        <v>-7.7299790000000002</v>
      </c>
      <c r="F114">
        <v>110.186615</v>
      </c>
      <c r="G114" t="s">
        <v>220</v>
      </c>
      <c r="H114" t="s">
        <v>40</v>
      </c>
      <c r="I114">
        <v>-7.7280069999999998</v>
      </c>
      <c r="J114">
        <v>110.18629300000001</v>
      </c>
      <c r="K114">
        <v>2.7610000000000001</v>
      </c>
      <c r="L114">
        <v>46.692999999999998</v>
      </c>
      <c r="M114">
        <v>16.913499999999999</v>
      </c>
      <c r="N114" t="s">
        <v>31</v>
      </c>
      <c r="O114" t="s">
        <v>346</v>
      </c>
      <c r="P114">
        <v>46.692999999999998</v>
      </c>
      <c r="Q114">
        <v>0</v>
      </c>
      <c r="R114" s="2" t="s">
        <v>249</v>
      </c>
      <c r="S114" s="2" t="s">
        <v>222</v>
      </c>
      <c r="T114" s="2" t="s">
        <v>419</v>
      </c>
      <c r="U114" s="3" t="s">
        <v>114</v>
      </c>
      <c r="V114" s="3"/>
      <c r="W114" t="str">
        <f t="shared" si="1"/>
        <v>Y</v>
      </c>
      <c r="X114" s="3" t="s">
        <v>50</v>
      </c>
      <c r="Y114" s="3" t="s">
        <v>415</v>
      </c>
      <c r="Z114" s="3"/>
    </row>
    <row r="115" spans="1:26" x14ac:dyDescent="0.3">
      <c r="A115">
        <v>16619</v>
      </c>
      <c r="B115" t="s">
        <v>251</v>
      </c>
      <c r="C115" t="s">
        <v>345</v>
      </c>
      <c r="D115" t="s">
        <v>252</v>
      </c>
      <c r="E115">
        <v>-7.647678</v>
      </c>
      <c r="F115">
        <v>110.190398</v>
      </c>
      <c r="G115" t="s">
        <v>253</v>
      </c>
      <c r="H115" t="s">
        <v>30</v>
      </c>
      <c r="I115">
        <v>-7.6484670000000001</v>
      </c>
      <c r="J115">
        <v>110.188632</v>
      </c>
      <c r="K115">
        <v>2.6669999999999998</v>
      </c>
      <c r="L115">
        <v>110.96599999999999</v>
      </c>
      <c r="M115">
        <v>41.603000000000002</v>
      </c>
      <c r="N115" t="s">
        <v>31</v>
      </c>
      <c r="O115" t="s">
        <v>346</v>
      </c>
      <c r="P115">
        <v>110.96599999999999</v>
      </c>
      <c r="Q115">
        <v>0</v>
      </c>
      <c r="R115" s="2" t="s">
        <v>254</v>
      </c>
      <c r="S115" s="2" t="s">
        <v>255</v>
      </c>
      <c r="T115" s="2" t="s">
        <v>420</v>
      </c>
      <c r="U115" s="3" t="s">
        <v>152</v>
      </c>
      <c r="V115" s="3"/>
      <c r="W115" t="str">
        <f t="shared" si="1"/>
        <v>T</v>
      </c>
      <c r="X115" s="3" t="s">
        <v>348</v>
      </c>
      <c r="Y115" s="3" t="s">
        <v>421</v>
      </c>
      <c r="Z115" s="3"/>
    </row>
    <row r="116" spans="1:26" x14ac:dyDescent="0.3">
      <c r="A116">
        <v>17227</v>
      </c>
      <c r="B116" t="s">
        <v>258</v>
      </c>
      <c r="C116" t="s">
        <v>345</v>
      </c>
      <c r="D116" t="s">
        <v>259</v>
      </c>
      <c r="E116">
        <v>-7.9008330000000004</v>
      </c>
      <c r="F116">
        <v>110.140927</v>
      </c>
      <c r="G116" t="s">
        <v>260</v>
      </c>
      <c r="H116" t="s">
        <v>30</v>
      </c>
      <c r="I116">
        <v>-7.9010899999999999</v>
      </c>
      <c r="J116">
        <v>110.144181</v>
      </c>
      <c r="K116">
        <v>4.4980000000000002</v>
      </c>
      <c r="L116">
        <v>31.721</v>
      </c>
      <c r="M116">
        <v>7.0517000000000003</v>
      </c>
      <c r="N116" t="s">
        <v>31</v>
      </c>
      <c r="O116" t="s">
        <v>346</v>
      </c>
      <c r="P116">
        <v>31.721</v>
      </c>
      <c r="Q116">
        <v>0</v>
      </c>
      <c r="R116" s="2" t="s">
        <v>261</v>
      </c>
      <c r="S116" s="2" t="s">
        <v>262</v>
      </c>
      <c r="T116" s="2" t="s">
        <v>422</v>
      </c>
      <c r="U116" s="3" t="s">
        <v>35</v>
      </c>
      <c r="V116" s="3"/>
      <c r="W116" t="str">
        <f t="shared" si="1"/>
        <v>Y</v>
      </c>
      <c r="X116" s="3" t="s">
        <v>50</v>
      </c>
      <c r="Y116" s="3" t="s">
        <v>37</v>
      </c>
      <c r="Z116" s="3" t="s">
        <v>423</v>
      </c>
    </row>
    <row r="117" spans="1:26" x14ac:dyDescent="0.3">
      <c r="A117">
        <v>17290</v>
      </c>
      <c r="B117" t="s">
        <v>265</v>
      </c>
      <c r="C117" t="s">
        <v>345</v>
      </c>
      <c r="D117" t="s">
        <v>53</v>
      </c>
      <c r="E117">
        <v>-7.9033930000000003</v>
      </c>
      <c r="F117">
        <v>110.069259</v>
      </c>
      <c r="G117" t="s">
        <v>54</v>
      </c>
      <c r="H117" t="s">
        <v>55</v>
      </c>
      <c r="I117">
        <v>-7.9031770000000003</v>
      </c>
      <c r="J117">
        <v>110.07283099999999</v>
      </c>
      <c r="K117">
        <v>4.9320000000000004</v>
      </c>
      <c r="L117">
        <v>78.094999999999999</v>
      </c>
      <c r="M117">
        <v>15.835599999999999</v>
      </c>
      <c r="N117" t="s">
        <v>31</v>
      </c>
      <c r="O117" t="s">
        <v>351</v>
      </c>
      <c r="P117">
        <v>64.850999999999999</v>
      </c>
      <c r="Q117">
        <v>13.244</v>
      </c>
      <c r="R117" s="2" t="s">
        <v>266</v>
      </c>
      <c r="S117" s="2" t="s">
        <v>57</v>
      </c>
      <c r="T117" s="2" t="s">
        <v>424</v>
      </c>
      <c r="U117" s="3" t="s">
        <v>157</v>
      </c>
      <c r="V117" s="3" t="s">
        <v>353</v>
      </c>
      <c r="W117" t="str">
        <f t="shared" si="1"/>
        <v>Y</v>
      </c>
      <c r="X117" s="3" t="s">
        <v>50</v>
      </c>
      <c r="Y117" s="3" t="s">
        <v>158</v>
      </c>
      <c r="Z117" s="3"/>
    </row>
    <row r="118" spans="1:26" x14ac:dyDescent="0.3">
      <c r="A118">
        <v>17409</v>
      </c>
      <c r="B118" t="s">
        <v>268</v>
      </c>
      <c r="C118" t="s">
        <v>345</v>
      </c>
      <c r="D118" t="s">
        <v>269</v>
      </c>
      <c r="E118">
        <v>-7.7154790000000002</v>
      </c>
      <c r="F118">
        <v>110.172134</v>
      </c>
      <c r="G118" t="s">
        <v>270</v>
      </c>
      <c r="H118" t="s">
        <v>40</v>
      </c>
      <c r="I118">
        <v>-7.7176850000000004</v>
      </c>
      <c r="J118">
        <v>110.17143900000001</v>
      </c>
      <c r="K118">
        <v>3.1949999999999998</v>
      </c>
      <c r="L118">
        <v>45.420999999999999</v>
      </c>
      <c r="M118">
        <v>14.2164</v>
      </c>
      <c r="N118" t="s">
        <v>31</v>
      </c>
      <c r="O118" t="s">
        <v>346</v>
      </c>
      <c r="P118">
        <v>45.420999999999999</v>
      </c>
      <c r="Q118">
        <v>0</v>
      </c>
      <c r="R118" s="2" t="s">
        <v>271</v>
      </c>
      <c r="S118" s="2" t="s">
        <v>272</v>
      </c>
      <c r="T118" s="2" t="s">
        <v>425</v>
      </c>
      <c r="U118" s="3" t="s">
        <v>114</v>
      </c>
      <c r="V118" s="3"/>
      <c r="W118" t="str">
        <f t="shared" si="1"/>
        <v>Y</v>
      </c>
      <c r="X118" s="3" t="s">
        <v>50</v>
      </c>
      <c r="Y118" s="3" t="s">
        <v>426</v>
      </c>
      <c r="Z118" s="3"/>
    </row>
    <row r="119" spans="1:26" x14ac:dyDescent="0.3">
      <c r="A119">
        <v>17432</v>
      </c>
      <c r="B119" t="s">
        <v>275</v>
      </c>
      <c r="C119" t="s">
        <v>345</v>
      </c>
      <c r="D119" t="s">
        <v>170</v>
      </c>
      <c r="E119">
        <v>-7.912763</v>
      </c>
      <c r="F119">
        <v>110.228897</v>
      </c>
      <c r="G119" t="s">
        <v>171</v>
      </c>
      <c r="H119" t="s">
        <v>40</v>
      </c>
      <c r="I119">
        <v>-7.9104150000000004</v>
      </c>
      <c r="J119">
        <v>110.22888399999999</v>
      </c>
      <c r="K119">
        <v>3.2450000000000001</v>
      </c>
      <c r="L119">
        <v>32.158000000000001</v>
      </c>
      <c r="M119">
        <v>9.9100999999999999</v>
      </c>
      <c r="N119" t="s">
        <v>31</v>
      </c>
      <c r="O119" t="s">
        <v>346</v>
      </c>
      <c r="P119">
        <v>32.158000000000001</v>
      </c>
      <c r="Q119">
        <v>0</v>
      </c>
      <c r="R119" s="4" t="s">
        <v>276</v>
      </c>
      <c r="S119" s="2" t="s">
        <v>173</v>
      </c>
      <c r="T119" s="2" t="s">
        <v>427</v>
      </c>
      <c r="U119" s="3" t="s">
        <v>152</v>
      </c>
      <c r="V119" s="3"/>
      <c r="W119" t="str">
        <f t="shared" si="1"/>
        <v>T</v>
      </c>
      <c r="X119" s="3" t="s">
        <v>50</v>
      </c>
      <c r="Y119" s="3" t="s">
        <v>428</v>
      </c>
      <c r="Z119" s="3"/>
    </row>
    <row r="120" spans="1:26" x14ac:dyDescent="0.3">
      <c r="A120">
        <v>17558</v>
      </c>
      <c r="B120" t="s">
        <v>279</v>
      </c>
      <c r="C120" t="s">
        <v>345</v>
      </c>
      <c r="D120" t="s">
        <v>53</v>
      </c>
      <c r="E120">
        <v>-7.9061149999999998</v>
      </c>
      <c r="F120">
        <v>110.072881</v>
      </c>
      <c r="G120" t="s">
        <v>54</v>
      </c>
      <c r="H120" t="s">
        <v>55</v>
      </c>
      <c r="I120">
        <v>-7.9031770000000003</v>
      </c>
      <c r="J120">
        <v>110.07283099999999</v>
      </c>
      <c r="K120">
        <v>4.0609999999999999</v>
      </c>
      <c r="L120">
        <v>84.436000000000007</v>
      </c>
      <c r="M120">
        <v>20.793700000000001</v>
      </c>
      <c r="N120" t="s">
        <v>31</v>
      </c>
      <c r="O120" t="s">
        <v>351</v>
      </c>
      <c r="P120">
        <v>71.191999999999993</v>
      </c>
      <c r="Q120">
        <v>13.244</v>
      </c>
      <c r="R120" s="2" t="s">
        <v>280</v>
      </c>
      <c r="S120" s="2" t="s">
        <v>57</v>
      </c>
      <c r="T120" s="2" t="s">
        <v>429</v>
      </c>
      <c r="U120" s="3" t="s">
        <v>157</v>
      </c>
      <c r="V120" s="3" t="s">
        <v>353</v>
      </c>
      <c r="W120" t="str">
        <f t="shared" si="1"/>
        <v>Y</v>
      </c>
      <c r="X120" s="3" t="s">
        <v>50</v>
      </c>
      <c r="Y120" s="3" t="s">
        <v>158</v>
      </c>
      <c r="Z120" s="3"/>
    </row>
    <row r="121" spans="1:26" x14ac:dyDescent="0.3">
      <c r="A121">
        <v>17663</v>
      </c>
      <c r="B121" t="s">
        <v>282</v>
      </c>
      <c r="C121" t="s">
        <v>345</v>
      </c>
      <c r="D121" t="s">
        <v>190</v>
      </c>
      <c r="E121">
        <v>-7.6928320000000001</v>
      </c>
      <c r="F121">
        <v>110.154045</v>
      </c>
      <c r="G121" t="s">
        <v>191</v>
      </c>
      <c r="H121" t="s">
        <v>30</v>
      </c>
      <c r="I121">
        <v>-7.691147</v>
      </c>
      <c r="J121">
        <v>110.154083</v>
      </c>
      <c r="K121">
        <v>2.33</v>
      </c>
      <c r="L121">
        <v>38.99</v>
      </c>
      <c r="M121">
        <v>16.735099999999999</v>
      </c>
      <c r="N121" t="s">
        <v>31</v>
      </c>
      <c r="O121" t="s">
        <v>346</v>
      </c>
      <c r="P121">
        <v>38.99</v>
      </c>
      <c r="Q121">
        <v>0</v>
      </c>
      <c r="R121" s="2" t="s">
        <v>283</v>
      </c>
      <c r="S121" s="2" t="s">
        <v>193</v>
      </c>
      <c r="T121" s="2" t="s">
        <v>430</v>
      </c>
      <c r="U121" s="3" t="s">
        <v>114</v>
      </c>
      <c r="V121" s="3" t="s">
        <v>152</v>
      </c>
      <c r="W121" t="str">
        <f t="shared" si="1"/>
        <v>Y</v>
      </c>
      <c r="X121" s="3" t="s">
        <v>50</v>
      </c>
      <c r="Y121" s="3" t="s">
        <v>431</v>
      </c>
      <c r="Z121" s="3"/>
    </row>
    <row r="122" spans="1:26" x14ac:dyDescent="0.3">
      <c r="A122">
        <v>17845</v>
      </c>
      <c r="B122" t="s">
        <v>285</v>
      </c>
      <c r="C122" t="s">
        <v>345</v>
      </c>
      <c r="D122" t="s">
        <v>229</v>
      </c>
      <c r="E122">
        <v>-7.8943199999999996</v>
      </c>
      <c r="F122">
        <v>110.05658</v>
      </c>
      <c r="G122" t="s">
        <v>286</v>
      </c>
      <c r="H122" t="s">
        <v>40</v>
      </c>
      <c r="I122">
        <v>-7.8950449999999996</v>
      </c>
      <c r="J122">
        <v>110.05547799999999</v>
      </c>
      <c r="K122">
        <v>1.8180000000000001</v>
      </c>
      <c r="L122">
        <v>39.695</v>
      </c>
      <c r="M122">
        <v>21.829699999999999</v>
      </c>
      <c r="N122" t="s">
        <v>31</v>
      </c>
      <c r="O122" t="s">
        <v>346</v>
      </c>
      <c r="P122">
        <v>39.695</v>
      </c>
      <c r="Q122">
        <v>0</v>
      </c>
      <c r="R122" s="2" t="s">
        <v>287</v>
      </c>
      <c r="S122" s="2" t="s">
        <v>288</v>
      </c>
      <c r="T122" s="2" t="s">
        <v>432</v>
      </c>
      <c r="U122" s="3" t="s">
        <v>157</v>
      </c>
      <c r="V122" s="3"/>
      <c r="W122" t="str">
        <f t="shared" si="1"/>
        <v>Y</v>
      </c>
      <c r="X122" s="3" t="s">
        <v>50</v>
      </c>
      <c r="Y122" s="3" t="s">
        <v>158</v>
      </c>
      <c r="Z122" s="3"/>
    </row>
    <row r="123" spans="1:26" x14ac:dyDescent="0.3">
      <c r="A123">
        <v>18192</v>
      </c>
      <c r="B123" t="s">
        <v>433</v>
      </c>
      <c r="C123" t="s">
        <v>345</v>
      </c>
      <c r="E123">
        <v>-7.9306539999999996</v>
      </c>
      <c r="F123">
        <v>110.128164</v>
      </c>
      <c r="G123" t="s">
        <v>357</v>
      </c>
      <c r="H123" t="s">
        <v>30</v>
      </c>
      <c r="I123">
        <v>-7.9278620000000002</v>
      </c>
      <c r="J123">
        <v>110.128547</v>
      </c>
      <c r="K123">
        <v>3.895</v>
      </c>
      <c r="L123">
        <v>39.037999999999997</v>
      </c>
      <c r="M123">
        <v>10.022500000000001</v>
      </c>
      <c r="N123" t="s">
        <v>31</v>
      </c>
      <c r="O123" t="s">
        <v>358</v>
      </c>
      <c r="P123">
        <v>17.803999999999998</v>
      </c>
      <c r="Q123">
        <v>21.234999999999999</v>
      </c>
      <c r="R123" s="2" t="s">
        <v>434</v>
      </c>
      <c r="S123" s="2" t="s">
        <v>360</v>
      </c>
      <c r="T123" s="2" t="s">
        <v>435</v>
      </c>
      <c r="U123" s="3" t="s">
        <v>353</v>
      </c>
      <c r="V123" s="3"/>
      <c r="W123" t="str">
        <f t="shared" si="1"/>
        <v>Y</v>
      </c>
      <c r="X123" s="3" t="s">
        <v>348</v>
      </c>
      <c r="Y123" s="3" t="s">
        <v>362</v>
      </c>
      <c r="Z123" s="3"/>
    </row>
    <row r="124" spans="1:26" x14ac:dyDescent="0.3">
      <c r="A124">
        <v>18237</v>
      </c>
      <c r="B124" t="s">
        <v>290</v>
      </c>
      <c r="C124" t="s">
        <v>345</v>
      </c>
      <c r="D124" t="s">
        <v>45</v>
      </c>
      <c r="E124">
        <v>-7.8952099999999996</v>
      </c>
      <c r="F124">
        <v>110.050228</v>
      </c>
      <c r="G124" t="s">
        <v>46</v>
      </c>
      <c r="H124" t="s">
        <v>40</v>
      </c>
      <c r="I124">
        <v>-7.8935930000000001</v>
      </c>
      <c r="J124">
        <v>110.052037</v>
      </c>
      <c r="K124">
        <v>3.3479999999999999</v>
      </c>
      <c r="L124">
        <v>53.448</v>
      </c>
      <c r="M124">
        <v>15.9628</v>
      </c>
      <c r="N124" t="s">
        <v>31</v>
      </c>
      <c r="O124" t="s">
        <v>346</v>
      </c>
      <c r="P124">
        <v>53.448</v>
      </c>
      <c r="Q124">
        <v>0</v>
      </c>
      <c r="R124" s="4" t="s">
        <v>291</v>
      </c>
      <c r="S124" s="2" t="s">
        <v>48</v>
      </c>
      <c r="T124" s="2" t="s">
        <v>436</v>
      </c>
      <c r="U124" s="3" t="s">
        <v>157</v>
      </c>
      <c r="V124" s="3"/>
      <c r="W124" t="str">
        <f t="shared" si="1"/>
        <v>Y</v>
      </c>
      <c r="X124" s="3" t="s">
        <v>50</v>
      </c>
      <c r="Y124" s="3"/>
      <c r="Z124" s="3"/>
    </row>
    <row r="125" spans="1:26" x14ac:dyDescent="0.3">
      <c r="A125">
        <v>18284</v>
      </c>
      <c r="B125" t="s">
        <v>293</v>
      </c>
      <c r="C125" t="s">
        <v>345</v>
      </c>
      <c r="D125" t="s">
        <v>53</v>
      </c>
      <c r="E125">
        <v>-7.9061130000000004</v>
      </c>
      <c r="F125">
        <v>110.071974</v>
      </c>
      <c r="G125" t="s">
        <v>54</v>
      </c>
      <c r="H125" t="s">
        <v>55</v>
      </c>
      <c r="I125">
        <v>-7.9031770000000003</v>
      </c>
      <c r="J125">
        <v>110.07283099999999</v>
      </c>
      <c r="K125">
        <v>4.226</v>
      </c>
      <c r="L125">
        <v>108.93300000000001</v>
      </c>
      <c r="M125">
        <v>25.7791</v>
      </c>
      <c r="N125" t="s">
        <v>31</v>
      </c>
      <c r="O125" t="s">
        <v>351</v>
      </c>
      <c r="P125">
        <v>96.945999999999998</v>
      </c>
      <c r="Q125">
        <v>11.987</v>
      </c>
      <c r="R125" s="2" t="s">
        <v>294</v>
      </c>
      <c r="S125" s="2" t="s">
        <v>57</v>
      </c>
      <c r="T125" s="2" t="s">
        <v>437</v>
      </c>
      <c r="U125" s="3" t="s">
        <v>157</v>
      </c>
      <c r="V125" s="3" t="s">
        <v>353</v>
      </c>
      <c r="W125" t="str">
        <f t="shared" si="1"/>
        <v>Y</v>
      </c>
      <c r="X125" s="3" t="s">
        <v>50</v>
      </c>
      <c r="Y125" s="3" t="s">
        <v>158</v>
      </c>
      <c r="Z125" s="3"/>
    </row>
    <row r="126" spans="1:26" x14ac:dyDescent="0.3">
      <c r="A126">
        <v>18497</v>
      </c>
      <c r="B126" t="s">
        <v>438</v>
      </c>
      <c r="C126" t="s">
        <v>345</v>
      </c>
      <c r="E126">
        <v>-7.929748</v>
      </c>
      <c r="F126">
        <v>110.127259</v>
      </c>
      <c r="G126" t="s">
        <v>357</v>
      </c>
      <c r="H126" t="s">
        <v>30</v>
      </c>
      <c r="I126">
        <v>-7.9278620000000002</v>
      </c>
      <c r="J126">
        <v>110.128547</v>
      </c>
      <c r="K126">
        <v>3.153</v>
      </c>
      <c r="L126">
        <v>37.984999999999999</v>
      </c>
      <c r="M126">
        <v>12.0459</v>
      </c>
      <c r="N126" t="s">
        <v>31</v>
      </c>
      <c r="O126" t="s">
        <v>358</v>
      </c>
      <c r="P126">
        <v>20.317</v>
      </c>
      <c r="Q126">
        <v>17.667999999999999</v>
      </c>
      <c r="R126" s="2" t="s">
        <v>439</v>
      </c>
      <c r="S126" s="2" t="s">
        <v>360</v>
      </c>
      <c r="T126" s="2" t="s">
        <v>440</v>
      </c>
      <c r="U126" s="3" t="s">
        <v>353</v>
      </c>
      <c r="V126" s="3"/>
      <c r="W126" t="str">
        <f t="shared" si="1"/>
        <v>Y</v>
      </c>
      <c r="X126" s="3" t="s">
        <v>348</v>
      </c>
      <c r="Y126" s="3" t="s">
        <v>362</v>
      </c>
      <c r="Z126" s="3"/>
    </row>
    <row r="127" spans="1:26" x14ac:dyDescent="0.3">
      <c r="A127">
        <v>18583</v>
      </c>
      <c r="B127" t="s">
        <v>296</v>
      </c>
      <c r="C127" t="s">
        <v>345</v>
      </c>
      <c r="D127" t="s">
        <v>170</v>
      </c>
      <c r="E127">
        <v>-7.9136680000000004</v>
      </c>
      <c r="F127">
        <v>110.22889600000001</v>
      </c>
      <c r="G127" t="s">
        <v>171</v>
      </c>
      <c r="H127" t="s">
        <v>40</v>
      </c>
      <c r="I127">
        <v>-7.9104150000000004</v>
      </c>
      <c r="J127">
        <v>110.22888399999999</v>
      </c>
      <c r="K127">
        <v>4.4950000000000001</v>
      </c>
      <c r="L127">
        <v>31.265000000000001</v>
      </c>
      <c r="M127">
        <v>6.9557000000000002</v>
      </c>
      <c r="N127" t="s">
        <v>31</v>
      </c>
      <c r="O127" t="s">
        <v>346</v>
      </c>
      <c r="P127">
        <v>31.265000000000001</v>
      </c>
      <c r="Q127">
        <v>0</v>
      </c>
      <c r="R127" s="2" t="s">
        <v>297</v>
      </c>
      <c r="S127" s="2" t="s">
        <v>173</v>
      </c>
      <c r="T127" s="2" t="s">
        <v>441</v>
      </c>
      <c r="U127" s="3" t="s">
        <v>152</v>
      </c>
      <c r="V127" s="3"/>
      <c r="W127" t="str">
        <f t="shared" si="1"/>
        <v>T</v>
      </c>
      <c r="X127" s="3" t="s">
        <v>50</v>
      </c>
      <c r="Y127" s="3" t="s">
        <v>428</v>
      </c>
      <c r="Z127" s="3"/>
    </row>
    <row r="128" spans="1:26" x14ac:dyDescent="0.3">
      <c r="A128">
        <v>18975</v>
      </c>
      <c r="B128" t="s">
        <v>299</v>
      </c>
      <c r="C128" t="s">
        <v>345</v>
      </c>
      <c r="D128" t="s">
        <v>235</v>
      </c>
      <c r="E128">
        <v>-7.9107580000000004</v>
      </c>
      <c r="F128">
        <v>110.129113</v>
      </c>
      <c r="G128" t="s">
        <v>236</v>
      </c>
      <c r="H128" t="s">
        <v>40</v>
      </c>
      <c r="I128">
        <v>-7.9080120000000003</v>
      </c>
      <c r="J128">
        <v>110.129045</v>
      </c>
      <c r="K128">
        <v>3.7959999999999998</v>
      </c>
      <c r="L128">
        <v>30.408000000000001</v>
      </c>
      <c r="M128">
        <v>8.0104000000000006</v>
      </c>
      <c r="N128" t="s">
        <v>31</v>
      </c>
      <c r="O128" t="s">
        <v>346</v>
      </c>
      <c r="P128">
        <v>30.408000000000001</v>
      </c>
      <c r="Q128">
        <v>0</v>
      </c>
      <c r="R128" s="2" t="s">
        <v>300</v>
      </c>
      <c r="S128" s="2" t="s">
        <v>238</v>
      </c>
      <c r="T128" s="2" t="s">
        <v>442</v>
      </c>
      <c r="U128" s="3" t="s">
        <v>35</v>
      </c>
      <c r="V128" s="3"/>
      <c r="W128" t="str">
        <f t="shared" si="1"/>
        <v>Y</v>
      </c>
      <c r="X128" s="3" t="s">
        <v>50</v>
      </c>
      <c r="Y128" s="3"/>
      <c r="Z128" s="3"/>
    </row>
    <row r="129" spans="1:26" x14ac:dyDescent="0.3">
      <c r="A129">
        <v>19256</v>
      </c>
      <c r="B129" t="s">
        <v>443</v>
      </c>
      <c r="C129" t="s">
        <v>345</v>
      </c>
      <c r="E129">
        <v>-7.93065</v>
      </c>
      <c r="F129">
        <v>110.12635</v>
      </c>
      <c r="G129" t="s">
        <v>357</v>
      </c>
      <c r="H129" t="s">
        <v>30</v>
      </c>
      <c r="I129">
        <v>-7.9278620000000002</v>
      </c>
      <c r="J129">
        <v>110.128547</v>
      </c>
      <c r="K129">
        <v>4.9009999999999998</v>
      </c>
      <c r="L129">
        <v>37.15</v>
      </c>
      <c r="M129">
        <v>7.5803000000000003</v>
      </c>
      <c r="N129" t="s">
        <v>31</v>
      </c>
      <c r="O129" t="s">
        <v>358</v>
      </c>
      <c r="P129">
        <v>20.376000000000001</v>
      </c>
      <c r="Q129">
        <v>16.774000000000001</v>
      </c>
      <c r="R129" s="2" t="s">
        <v>444</v>
      </c>
      <c r="S129" s="2" t="s">
        <v>360</v>
      </c>
      <c r="T129" s="2" t="s">
        <v>445</v>
      </c>
      <c r="U129" s="3" t="s">
        <v>353</v>
      </c>
      <c r="V129" s="3"/>
      <c r="W129" t="str">
        <f t="shared" si="1"/>
        <v>Y</v>
      </c>
      <c r="X129" s="3" t="s">
        <v>348</v>
      </c>
      <c r="Y129" s="3" t="s">
        <v>362</v>
      </c>
      <c r="Z129" s="3"/>
    </row>
    <row r="130" spans="1:26" x14ac:dyDescent="0.3">
      <c r="A130">
        <v>19702</v>
      </c>
      <c r="B130" t="s">
        <v>302</v>
      </c>
      <c r="C130" t="s">
        <v>345</v>
      </c>
      <c r="D130" t="s">
        <v>53</v>
      </c>
      <c r="E130">
        <v>-7.9061110000000001</v>
      </c>
      <c r="F130">
        <v>110.071067</v>
      </c>
      <c r="G130" t="s">
        <v>54</v>
      </c>
      <c r="H130" t="s">
        <v>55</v>
      </c>
      <c r="I130">
        <v>-7.9031770000000003</v>
      </c>
      <c r="J130">
        <v>110.07283099999999</v>
      </c>
      <c r="K130">
        <v>4.7270000000000003</v>
      </c>
      <c r="L130">
        <v>106.384</v>
      </c>
      <c r="M130">
        <v>22.503699999999998</v>
      </c>
      <c r="N130" t="s">
        <v>31</v>
      </c>
      <c r="O130" t="s">
        <v>351</v>
      </c>
      <c r="P130">
        <v>94.397000000000006</v>
      </c>
      <c r="Q130">
        <v>11.987</v>
      </c>
      <c r="R130" s="2" t="s">
        <v>303</v>
      </c>
      <c r="S130" s="2" t="s">
        <v>57</v>
      </c>
      <c r="T130" s="2" t="s">
        <v>446</v>
      </c>
      <c r="U130" s="3" t="s">
        <v>157</v>
      </c>
      <c r="V130" s="3" t="s">
        <v>353</v>
      </c>
      <c r="W130" t="str">
        <f t="shared" ref="W130:W193" si="2">IF(LEFT(U130,1)="","",IF(ISNUMBER(SEARCH(LEFT(U130,1),"ABCDG")),"Y",IF(ISNUMBER(SEARCH(LEFT(U130,1),"EFH")),"T",IF(LEFT(U130,1)="I","cek",""))))</f>
        <v>Y</v>
      </c>
      <c r="X130" s="3" t="s">
        <v>50</v>
      </c>
      <c r="Y130" s="3" t="s">
        <v>158</v>
      </c>
      <c r="Z130" s="3"/>
    </row>
    <row r="131" spans="1:26" x14ac:dyDescent="0.3">
      <c r="A131">
        <v>19779</v>
      </c>
      <c r="B131" t="s">
        <v>305</v>
      </c>
      <c r="C131" t="s">
        <v>345</v>
      </c>
      <c r="D131" t="s">
        <v>53</v>
      </c>
      <c r="E131">
        <v>-7.9052059999999997</v>
      </c>
      <c r="F131">
        <v>110.07106899999999</v>
      </c>
      <c r="G131" t="s">
        <v>54</v>
      </c>
      <c r="H131" t="s">
        <v>55</v>
      </c>
      <c r="I131">
        <v>-7.9031770000000003</v>
      </c>
      <c r="J131">
        <v>110.07283099999999</v>
      </c>
      <c r="K131">
        <v>3.71</v>
      </c>
      <c r="L131">
        <v>104.886</v>
      </c>
      <c r="M131">
        <v>28.2746</v>
      </c>
      <c r="N131" t="s">
        <v>31</v>
      </c>
      <c r="O131" t="s">
        <v>351</v>
      </c>
      <c r="P131">
        <v>92.899000000000001</v>
      </c>
      <c r="Q131">
        <v>11.987</v>
      </c>
      <c r="R131" s="4" t="s">
        <v>306</v>
      </c>
      <c r="S131" s="2" t="s">
        <v>57</v>
      </c>
      <c r="T131" s="2" t="s">
        <v>447</v>
      </c>
      <c r="U131" s="3" t="s">
        <v>157</v>
      </c>
      <c r="V131" s="3" t="s">
        <v>353</v>
      </c>
      <c r="W131" t="str">
        <f t="shared" si="2"/>
        <v>Y</v>
      </c>
      <c r="X131" s="3" t="s">
        <v>50</v>
      </c>
      <c r="Y131" s="3" t="s">
        <v>158</v>
      </c>
      <c r="Z131" s="3"/>
    </row>
    <row r="132" spans="1:26" x14ac:dyDescent="0.3">
      <c r="A132">
        <v>19787</v>
      </c>
      <c r="B132" t="s">
        <v>448</v>
      </c>
      <c r="C132" t="s">
        <v>345</v>
      </c>
      <c r="E132">
        <v>-7.9297459999999997</v>
      </c>
      <c r="F132">
        <v>110.126352</v>
      </c>
      <c r="G132" t="s">
        <v>357</v>
      </c>
      <c r="H132" t="s">
        <v>30</v>
      </c>
      <c r="I132">
        <v>-7.9278620000000002</v>
      </c>
      <c r="J132">
        <v>110.128547</v>
      </c>
      <c r="K132">
        <v>3.9910000000000001</v>
      </c>
      <c r="L132">
        <v>36.25</v>
      </c>
      <c r="M132">
        <v>9.0824999999999996</v>
      </c>
      <c r="N132" t="s">
        <v>31</v>
      </c>
      <c r="O132" t="s">
        <v>358</v>
      </c>
      <c r="P132">
        <v>20.765000000000001</v>
      </c>
      <c r="Q132">
        <v>15.484999999999999</v>
      </c>
      <c r="R132" s="2" t="s">
        <v>449</v>
      </c>
      <c r="S132" s="2" t="s">
        <v>360</v>
      </c>
      <c r="T132" s="2" t="s">
        <v>450</v>
      </c>
      <c r="U132" s="3" t="s">
        <v>353</v>
      </c>
      <c r="V132" s="3"/>
      <c r="W132" t="str">
        <f t="shared" si="2"/>
        <v>Y</v>
      </c>
      <c r="X132" s="3" t="s">
        <v>348</v>
      </c>
      <c r="Y132" s="3" t="s">
        <v>362</v>
      </c>
      <c r="Z132" s="3"/>
    </row>
    <row r="133" spans="1:26" x14ac:dyDescent="0.3">
      <c r="A133">
        <v>20081</v>
      </c>
      <c r="B133" t="s">
        <v>308</v>
      </c>
      <c r="C133" t="s">
        <v>345</v>
      </c>
      <c r="D133" t="s">
        <v>45</v>
      </c>
      <c r="E133">
        <v>-7.8970229999999999</v>
      </c>
      <c r="F133">
        <v>110.052038</v>
      </c>
      <c r="G133" t="s">
        <v>211</v>
      </c>
      <c r="H133" t="s">
        <v>40</v>
      </c>
      <c r="I133">
        <v>-7.8961180000000004</v>
      </c>
      <c r="J133">
        <v>110.05466699999999</v>
      </c>
      <c r="K133">
        <v>3.8330000000000002</v>
      </c>
      <c r="L133">
        <v>51.508000000000003</v>
      </c>
      <c r="M133">
        <v>13.4375</v>
      </c>
      <c r="N133" t="s">
        <v>31</v>
      </c>
      <c r="O133" t="s">
        <v>346</v>
      </c>
      <c r="P133">
        <v>51.508000000000003</v>
      </c>
      <c r="Q133">
        <v>0</v>
      </c>
      <c r="R133" s="2" t="s">
        <v>309</v>
      </c>
      <c r="S133" s="2" t="s">
        <v>213</v>
      </c>
      <c r="T133" s="2" t="s">
        <v>451</v>
      </c>
      <c r="U133" s="3" t="s">
        <v>157</v>
      </c>
      <c r="V133" s="3"/>
      <c r="W133" t="str">
        <f t="shared" si="2"/>
        <v>Y</v>
      </c>
      <c r="X133" s="3" t="s">
        <v>50</v>
      </c>
      <c r="Y133" s="3"/>
      <c r="Z133" s="3" t="s">
        <v>452</v>
      </c>
    </row>
    <row r="134" spans="1:26" x14ac:dyDescent="0.3">
      <c r="A134">
        <v>20950</v>
      </c>
      <c r="B134" t="s">
        <v>312</v>
      </c>
      <c r="C134" t="s">
        <v>345</v>
      </c>
      <c r="D134" t="s">
        <v>45</v>
      </c>
      <c r="E134">
        <v>-7.8988339999999999</v>
      </c>
      <c r="F134">
        <v>110.052941</v>
      </c>
      <c r="G134" t="s">
        <v>211</v>
      </c>
      <c r="H134" t="s">
        <v>40</v>
      </c>
      <c r="I134">
        <v>-7.8961180000000004</v>
      </c>
      <c r="J134">
        <v>110.05466699999999</v>
      </c>
      <c r="K134">
        <v>4.444</v>
      </c>
      <c r="L134">
        <v>54.896000000000001</v>
      </c>
      <c r="M134">
        <v>12.351699999999999</v>
      </c>
      <c r="N134" t="s">
        <v>31</v>
      </c>
      <c r="O134" t="s">
        <v>346</v>
      </c>
      <c r="P134">
        <v>54.896000000000001</v>
      </c>
      <c r="Q134">
        <v>0</v>
      </c>
      <c r="R134" s="2" t="s">
        <v>313</v>
      </c>
      <c r="S134" s="2" t="s">
        <v>213</v>
      </c>
      <c r="T134" s="2" t="s">
        <v>453</v>
      </c>
      <c r="U134" s="3" t="s">
        <v>157</v>
      </c>
      <c r="V134" s="3"/>
      <c r="W134" t="str">
        <f t="shared" si="2"/>
        <v>Y</v>
      </c>
      <c r="X134" s="3" t="s">
        <v>50</v>
      </c>
      <c r="Y134" s="3" t="s">
        <v>158</v>
      </c>
      <c r="Z134" s="3"/>
    </row>
    <row r="135" spans="1:26" x14ac:dyDescent="0.3">
      <c r="A135">
        <v>20989</v>
      </c>
      <c r="B135" t="s">
        <v>315</v>
      </c>
      <c r="C135" t="s">
        <v>345</v>
      </c>
      <c r="D135" t="s">
        <v>316</v>
      </c>
      <c r="E135">
        <v>-7.9088339999999997</v>
      </c>
      <c r="F135">
        <v>110.075596</v>
      </c>
      <c r="G135" t="s">
        <v>317</v>
      </c>
      <c r="H135" t="s">
        <v>40</v>
      </c>
      <c r="I135">
        <v>-7.9072100000000001</v>
      </c>
      <c r="J135">
        <v>110.07745300000001</v>
      </c>
      <c r="K135">
        <v>3.4039999999999999</v>
      </c>
      <c r="L135">
        <v>124.57599999999999</v>
      </c>
      <c r="M135">
        <v>36.596200000000003</v>
      </c>
      <c r="N135" t="s">
        <v>31</v>
      </c>
      <c r="O135" t="s">
        <v>351</v>
      </c>
      <c r="P135">
        <v>112.98699999999999</v>
      </c>
      <c r="Q135">
        <v>11.589</v>
      </c>
      <c r="R135" s="2" t="s">
        <v>318</v>
      </c>
      <c r="S135" s="2" t="s">
        <v>319</v>
      </c>
      <c r="T135" s="2" t="s">
        <v>454</v>
      </c>
      <c r="U135" s="3" t="s">
        <v>157</v>
      </c>
      <c r="V135" s="3" t="s">
        <v>353</v>
      </c>
      <c r="W135" t="str">
        <f t="shared" si="2"/>
        <v>Y</v>
      </c>
      <c r="X135" s="3" t="s">
        <v>50</v>
      </c>
      <c r="Y135" s="3" t="s">
        <v>158</v>
      </c>
      <c r="Z135" s="3"/>
    </row>
    <row r="136" spans="1:26" x14ac:dyDescent="0.3">
      <c r="A136">
        <v>21020</v>
      </c>
      <c r="B136" t="s">
        <v>321</v>
      </c>
      <c r="C136" t="s">
        <v>345</v>
      </c>
      <c r="D136" t="s">
        <v>235</v>
      </c>
      <c r="E136">
        <v>-7.9107539999999998</v>
      </c>
      <c r="F136">
        <v>110.12729899999999</v>
      </c>
      <c r="G136" t="s">
        <v>236</v>
      </c>
      <c r="H136" t="s">
        <v>40</v>
      </c>
      <c r="I136">
        <v>-7.9080120000000003</v>
      </c>
      <c r="J136">
        <v>110.129045</v>
      </c>
      <c r="K136">
        <v>4.4889999999999999</v>
      </c>
      <c r="L136">
        <v>32.86</v>
      </c>
      <c r="M136">
        <v>7.3201000000000001</v>
      </c>
      <c r="N136" t="s">
        <v>31</v>
      </c>
      <c r="O136" t="s">
        <v>346</v>
      </c>
      <c r="P136">
        <v>32.86</v>
      </c>
      <c r="Q136">
        <v>0</v>
      </c>
      <c r="R136" s="2" t="s">
        <v>322</v>
      </c>
      <c r="S136" s="2" t="s">
        <v>238</v>
      </c>
      <c r="T136" s="2" t="s">
        <v>455</v>
      </c>
      <c r="U136" s="3" t="s">
        <v>35</v>
      </c>
      <c r="V136" s="3"/>
      <c r="W136" t="str">
        <f t="shared" si="2"/>
        <v>Y</v>
      </c>
      <c r="X136" s="3" t="s">
        <v>50</v>
      </c>
      <c r="Y136" s="3"/>
      <c r="Z136" s="3"/>
    </row>
    <row r="137" spans="1:26" x14ac:dyDescent="0.3">
      <c r="A137">
        <v>21384</v>
      </c>
      <c r="B137" t="s">
        <v>324</v>
      </c>
      <c r="C137" t="s">
        <v>345</v>
      </c>
      <c r="D137" t="s">
        <v>170</v>
      </c>
      <c r="E137">
        <v>-7.9136689999999996</v>
      </c>
      <c r="F137">
        <v>110.229803</v>
      </c>
      <c r="G137" t="s">
        <v>171</v>
      </c>
      <c r="H137" t="s">
        <v>40</v>
      </c>
      <c r="I137">
        <v>-7.9104150000000004</v>
      </c>
      <c r="J137">
        <v>110.22888399999999</v>
      </c>
      <c r="K137">
        <v>4.6719999999999997</v>
      </c>
      <c r="L137">
        <v>30.33</v>
      </c>
      <c r="M137">
        <v>6.492</v>
      </c>
      <c r="N137" t="s">
        <v>31</v>
      </c>
      <c r="O137" t="s">
        <v>346</v>
      </c>
      <c r="P137">
        <v>30.33</v>
      </c>
      <c r="Q137">
        <v>0</v>
      </c>
      <c r="R137" s="2" t="s">
        <v>325</v>
      </c>
      <c r="S137" s="2" t="s">
        <v>173</v>
      </c>
      <c r="T137" s="2" t="s">
        <v>456</v>
      </c>
      <c r="U137" s="3" t="s">
        <v>152</v>
      </c>
      <c r="V137" s="3"/>
      <c r="W137" t="str">
        <f t="shared" si="2"/>
        <v>T</v>
      </c>
      <c r="X137" s="3" t="s">
        <v>50</v>
      </c>
      <c r="Y137" s="3"/>
      <c r="Z137" s="3"/>
    </row>
    <row r="138" spans="1:26" x14ac:dyDescent="0.3">
      <c r="A138">
        <v>21421</v>
      </c>
      <c r="B138" t="s">
        <v>327</v>
      </c>
      <c r="C138" t="s">
        <v>345</v>
      </c>
      <c r="D138" t="s">
        <v>45</v>
      </c>
      <c r="E138">
        <v>-7.8970250000000002</v>
      </c>
      <c r="F138">
        <v>110.05294499999999</v>
      </c>
      <c r="G138" t="s">
        <v>211</v>
      </c>
      <c r="H138" t="s">
        <v>40</v>
      </c>
      <c r="I138">
        <v>-7.8961180000000004</v>
      </c>
      <c r="J138">
        <v>110.05466699999999</v>
      </c>
      <c r="K138">
        <v>2.6840000000000002</v>
      </c>
      <c r="L138">
        <v>51.712000000000003</v>
      </c>
      <c r="M138">
        <v>19.265699999999999</v>
      </c>
      <c r="N138" t="s">
        <v>31</v>
      </c>
      <c r="O138" t="s">
        <v>346</v>
      </c>
      <c r="P138">
        <v>51.712000000000003</v>
      </c>
      <c r="Q138">
        <v>0</v>
      </c>
      <c r="R138" s="4" t="s">
        <v>328</v>
      </c>
      <c r="S138" s="2" t="s">
        <v>213</v>
      </c>
      <c r="T138" s="2" t="s">
        <v>457</v>
      </c>
      <c r="U138" s="3" t="s">
        <v>157</v>
      </c>
      <c r="V138" s="3"/>
      <c r="W138" t="str">
        <f t="shared" si="2"/>
        <v>Y</v>
      </c>
      <c r="X138" s="3" t="s">
        <v>50</v>
      </c>
      <c r="Y138" s="3" t="s">
        <v>158</v>
      </c>
      <c r="Z138" s="3"/>
    </row>
    <row r="139" spans="1:26" x14ac:dyDescent="0.3">
      <c r="A139">
        <v>21632</v>
      </c>
      <c r="B139" t="s">
        <v>330</v>
      </c>
      <c r="C139" t="s">
        <v>345</v>
      </c>
      <c r="D139" t="s">
        <v>45</v>
      </c>
      <c r="E139">
        <v>-7.8952119999999999</v>
      </c>
      <c r="F139">
        <v>110.051135</v>
      </c>
      <c r="G139" t="s">
        <v>46</v>
      </c>
      <c r="H139" t="s">
        <v>40</v>
      </c>
      <c r="I139">
        <v>-7.8935930000000001</v>
      </c>
      <c r="J139">
        <v>110.052037</v>
      </c>
      <c r="K139">
        <v>2.56</v>
      </c>
      <c r="L139">
        <v>52.009</v>
      </c>
      <c r="M139">
        <v>20.316700000000001</v>
      </c>
      <c r="N139" t="s">
        <v>31</v>
      </c>
      <c r="O139" t="s">
        <v>346</v>
      </c>
      <c r="P139">
        <v>52.009</v>
      </c>
      <c r="Q139">
        <v>0</v>
      </c>
      <c r="R139" s="2" t="s">
        <v>331</v>
      </c>
      <c r="S139" s="2" t="s">
        <v>48</v>
      </c>
      <c r="T139" s="2" t="s">
        <v>458</v>
      </c>
      <c r="U139" s="3" t="s">
        <v>157</v>
      </c>
      <c r="V139" s="3"/>
      <c r="W139" t="str">
        <f t="shared" si="2"/>
        <v>Y</v>
      </c>
      <c r="X139" s="3" t="s">
        <v>50</v>
      </c>
      <c r="Y139" s="3"/>
      <c r="Z139" s="3"/>
    </row>
    <row r="140" spans="1:26" x14ac:dyDescent="0.3">
      <c r="A140">
        <v>21653</v>
      </c>
      <c r="B140" t="s">
        <v>459</v>
      </c>
      <c r="C140" t="s">
        <v>345</v>
      </c>
      <c r="E140">
        <v>-7.9306559999999999</v>
      </c>
      <c r="F140">
        <v>110.12907199999999</v>
      </c>
      <c r="G140" t="s">
        <v>357</v>
      </c>
      <c r="H140" t="s">
        <v>30</v>
      </c>
      <c r="I140">
        <v>-7.9278620000000002</v>
      </c>
      <c r="J140">
        <v>110.128547</v>
      </c>
      <c r="K140">
        <v>3.9289999999999998</v>
      </c>
      <c r="L140">
        <v>40.119999999999997</v>
      </c>
      <c r="M140">
        <v>10.2117</v>
      </c>
      <c r="N140" t="s">
        <v>31</v>
      </c>
      <c r="O140" t="s">
        <v>358</v>
      </c>
      <c r="P140">
        <v>17.058</v>
      </c>
      <c r="Q140">
        <v>23.062999999999999</v>
      </c>
      <c r="R140" s="2" t="s">
        <v>460</v>
      </c>
      <c r="S140" s="2" t="s">
        <v>360</v>
      </c>
      <c r="T140" s="2" t="s">
        <v>461</v>
      </c>
      <c r="U140" s="3" t="s">
        <v>353</v>
      </c>
      <c r="V140" s="3"/>
      <c r="W140" t="str">
        <f t="shared" si="2"/>
        <v>Y</v>
      </c>
      <c r="X140" s="3" t="s">
        <v>348</v>
      </c>
      <c r="Y140" s="3" t="s">
        <v>362</v>
      </c>
      <c r="Z140" s="3"/>
    </row>
    <row r="141" spans="1:26" x14ac:dyDescent="0.3">
      <c r="A141">
        <v>21663</v>
      </c>
      <c r="B141" t="s">
        <v>333</v>
      </c>
      <c r="C141" t="s">
        <v>345</v>
      </c>
      <c r="D141" t="s">
        <v>316</v>
      </c>
      <c r="E141">
        <v>-7.9097439999999999</v>
      </c>
      <c r="F141">
        <v>110.078316</v>
      </c>
      <c r="G141" t="s">
        <v>317</v>
      </c>
      <c r="H141" t="s">
        <v>40</v>
      </c>
      <c r="I141">
        <v>-7.9072100000000001</v>
      </c>
      <c r="J141">
        <v>110.07745300000001</v>
      </c>
      <c r="K141">
        <v>3.6989999999999998</v>
      </c>
      <c r="L141">
        <v>128.48099999999999</v>
      </c>
      <c r="M141">
        <v>34.729500000000002</v>
      </c>
      <c r="N141" t="s">
        <v>31</v>
      </c>
      <c r="O141" t="s">
        <v>351</v>
      </c>
      <c r="P141">
        <v>116.892</v>
      </c>
      <c r="Q141">
        <v>11.589</v>
      </c>
      <c r="R141" s="2" t="s">
        <v>334</v>
      </c>
      <c r="S141" s="2" t="s">
        <v>319</v>
      </c>
      <c r="T141" s="2" t="s">
        <v>462</v>
      </c>
      <c r="U141" s="3" t="s">
        <v>157</v>
      </c>
      <c r="V141" s="3" t="s">
        <v>353</v>
      </c>
      <c r="W141" t="str">
        <f t="shared" si="2"/>
        <v>Y</v>
      </c>
      <c r="X141" s="3" t="s">
        <v>50</v>
      </c>
      <c r="Y141" s="3"/>
      <c r="Z141" s="3"/>
    </row>
    <row r="142" spans="1:26" x14ac:dyDescent="0.3">
      <c r="A142">
        <v>21723</v>
      </c>
      <c r="B142" t="s">
        <v>336</v>
      </c>
      <c r="C142" t="s">
        <v>345</v>
      </c>
      <c r="D142" t="s">
        <v>45</v>
      </c>
      <c r="E142">
        <v>-7.8961170000000003</v>
      </c>
      <c r="F142">
        <v>110.05113299999999</v>
      </c>
      <c r="G142" t="s">
        <v>46</v>
      </c>
      <c r="H142" t="s">
        <v>40</v>
      </c>
      <c r="I142">
        <v>-7.8935930000000001</v>
      </c>
      <c r="J142">
        <v>110.052037</v>
      </c>
      <c r="K142">
        <v>3.7040000000000002</v>
      </c>
      <c r="L142">
        <v>52.572000000000003</v>
      </c>
      <c r="M142">
        <v>14.1945</v>
      </c>
      <c r="N142" t="s">
        <v>31</v>
      </c>
      <c r="O142" t="s">
        <v>346</v>
      </c>
      <c r="P142">
        <v>52.572000000000003</v>
      </c>
      <c r="Q142">
        <v>0</v>
      </c>
      <c r="R142" s="2" t="s">
        <v>337</v>
      </c>
      <c r="S142" s="2" t="s">
        <v>48</v>
      </c>
      <c r="T142" s="2" t="s">
        <v>463</v>
      </c>
      <c r="U142" s="3" t="s">
        <v>157</v>
      </c>
      <c r="V142" s="3"/>
      <c r="W142" t="str">
        <f t="shared" si="2"/>
        <v>Y</v>
      </c>
      <c r="X142" s="3" t="s">
        <v>50</v>
      </c>
      <c r="Y142" s="3"/>
      <c r="Z142" s="3"/>
    </row>
    <row r="143" spans="1:26" x14ac:dyDescent="0.3">
      <c r="A143">
        <v>22145</v>
      </c>
      <c r="B143" t="s">
        <v>464</v>
      </c>
      <c r="C143" t="s">
        <v>345</v>
      </c>
      <c r="E143">
        <v>-7.928839</v>
      </c>
      <c r="F143">
        <v>110.12544699999999</v>
      </c>
      <c r="G143" t="s">
        <v>357</v>
      </c>
      <c r="H143" t="s">
        <v>30</v>
      </c>
      <c r="I143">
        <v>-7.9278620000000002</v>
      </c>
      <c r="J143">
        <v>110.128547</v>
      </c>
      <c r="K143">
        <v>4.4809999999999999</v>
      </c>
      <c r="L143">
        <v>34.975000000000001</v>
      </c>
      <c r="M143">
        <v>7.8056999999999999</v>
      </c>
      <c r="N143" t="s">
        <v>31</v>
      </c>
      <c r="O143" t="s">
        <v>358</v>
      </c>
      <c r="P143">
        <v>22.838999999999999</v>
      </c>
      <c r="Q143">
        <v>12.135999999999999</v>
      </c>
      <c r="R143" s="2" t="s">
        <v>465</v>
      </c>
      <c r="S143" s="2" t="s">
        <v>360</v>
      </c>
      <c r="T143" s="2" t="s">
        <v>466</v>
      </c>
      <c r="U143" s="3" t="s">
        <v>353</v>
      </c>
      <c r="V143" s="3"/>
      <c r="W143" t="str">
        <f t="shared" si="2"/>
        <v>Y</v>
      </c>
      <c r="X143" s="3" t="s">
        <v>348</v>
      </c>
      <c r="Y143" s="3" t="s">
        <v>362</v>
      </c>
      <c r="Z143" s="3"/>
    </row>
    <row r="144" spans="1:26" x14ac:dyDescent="0.3">
      <c r="A144">
        <v>22148</v>
      </c>
      <c r="B144" t="s">
        <v>339</v>
      </c>
      <c r="C144" t="s">
        <v>345</v>
      </c>
      <c r="D144" t="s">
        <v>229</v>
      </c>
      <c r="E144">
        <v>-7.8961329999999998</v>
      </c>
      <c r="F144">
        <v>110.05839</v>
      </c>
      <c r="G144" t="s">
        <v>230</v>
      </c>
      <c r="H144" t="s">
        <v>40</v>
      </c>
      <c r="I144">
        <v>-7.8956419999999996</v>
      </c>
      <c r="J144">
        <v>110.05801200000001</v>
      </c>
      <c r="K144">
        <v>0.85499999999999998</v>
      </c>
      <c r="L144">
        <v>43.444000000000003</v>
      </c>
      <c r="M144">
        <v>50.824800000000003</v>
      </c>
      <c r="N144" t="s">
        <v>31</v>
      </c>
      <c r="O144" t="s">
        <v>346</v>
      </c>
      <c r="P144">
        <v>43.444000000000003</v>
      </c>
      <c r="Q144">
        <v>0</v>
      </c>
      <c r="R144" s="2" t="s">
        <v>340</v>
      </c>
      <c r="S144" s="2" t="s">
        <v>232</v>
      </c>
      <c r="T144" s="2" t="s">
        <v>467</v>
      </c>
      <c r="U144" s="3" t="s">
        <v>157</v>
      </c>
      <c r="V144" s="3"/>
      <c r="W144" t="str">
        <f t="shared" si="2"/>
        <v>Y</v>
      </c>
      <c r="X144" s="3" t="s">
        <v>50</v>
      </c>
      <c r="Y144" s="3"/>
      <c r="Z144" s="3"/>
    </row>
    <row r="145" spans="1:26" x14ac:dyDescent="0.3">
      <c r="A145">
        <v>22663</v>
      </c>
      <c r="B145" t="s">
        <v>342</v>
      </c>
      <c r="C145" t="s">
        <v>345</v>
      </c>
      <c r="D145" t="s">
        <v>53</v>
      </c>
      <c r="E145">
        <v>-7.905208</v>
      </c>
      <c r="F145">
        <v>110.07197600000001</v>
      </c>
      <c r="G145" t="s">
        <v>54</v>
      </c>
      <c r="H145" t="s">
        <v>55</v>
      </c>
      <c r="I145">
        <v>-7.9031770000000003</v>
      </c>
      <c r="J145">
        <v>110.07283099999999</v>
      </c>
      <c r="K145">
        <v>3.044</v>
      </c>
      <c r="L145">
        <v>82.680999999999997</v>
      </c>
      <c r="M145">
        <v>27.157900000000001</v>
      </c>
      <c r="N145" t="s">
        <v>31</v>
      </c>
      <c r="O145" t="s">
        <v>351</v>
      </c>
      <c r="P145">
        <v>69.438000000000002</v>
      </c>
      <c r="Q145">
        <v>13.244</v>
      </c>
      <c r="R145" s="2" t="s">
        <v>343</v>
      </c>
      <c r="S145" s="2" t="s">
        <v>57</v>
      </c>
      <c r="T145" s="2" t="s">
        <v>468</v>
      </c>
      <c r="U145" s="3" t="s">
        <v>157</v>
      </c>
      <c r="V145" s="3" t="s">
        <v>353</v>
      </c>
      <c r="W145" t="str">
        <f t="shared" si="2"/>
        <v>Y</v>
      </c>
      <c r="X145" s="3" t="s">
        <v>348</v>
      </c>
      <c r="Y145" s="3" t="s">
        <v>158</v>
      </c>
      <c r="Z145" s="3"/>
    </row>
    <row r="146" spans="1:26" x14ac:dyDescent="0.3">
      <c r="A146">
        <v>1152</v>
      </c>
      <c r="B146" t="s">
        <v>44</v>
      </c>
      <c r="C146" t="s">
        <v>469</v>
      </c>
      <c r="D146" t="s">
        <v>45</v>
      </c>
      <c r="E146">
        <v>-7.896115</v>
      </c>
      <c r="F146">
        <v>110.05022599999999</v>
      </c>
      <c r="G146" t="s">
        <v>46</v>
      </c>
      <c r="H146" t="s">
        <v>40</v>
      </c>
      <c r="I146">
        <v>-7.8935930000000001</v>
      </c>
      <c r="J146">
        <v>110.052037</v>
      </c>
      <c r="K146">
        <v>4.2869999999999999</v>
      </c>
      <c r="L146">
        <v>51.677</v>
      </c>
      <c r="M146">
        <v>12.055400000000001</v>
      </c>
      <c r="N146" t="s">
        <v>31</v>
      </c>
      <c r="O146" t="s">
        <v>470</v>
      </c>
      <c r="P146">
        <v>54.180999999999997</v>
      </c>
      <c r="Q146">
        <v>-2.504</v>
      </c>
      <c r="R146" s="2" t="s">
        <v>47</v>
      </c>
      <c r="S146" s="2" t="s">
        <v>48</v>
      </c>
      <c r="T146" s="2" t="s">
        <v>471</v>
      </c>
      <c r="U146" s="3" t="s">
        <v>157</v>
      </c>
      <c r="V146" s="3" t="s">
        <v>353</v>
      </c>
      <c r="W146" t="str">
        <f t="shared" si="2"/>
        <v>Y</v>
      </c>
      <c r="X146" s="3" t="s">
        <v>50</v>
      </c>
      <c r="Y146" s="3"/>
      <c r="Z146" s="3" t="s">
        <v>472</v>
      </c>
    </row>
    <row r="147" spans="1:26" x14ac:dyDescent="0.3">
      <c r="A147">
        <v>1213</v>
      </c>
      <c r="B147" t="s">
        <v>473</v>
      </c>
      <c r="C147" t="s">
        <v>469</v>
      </c>
      <c r="E147">
        <v>-7.8259100000000004</v>
      </c>
      <c r="F147">
        <v>110.21635999999999</v>
      </c>
      <c r="G147" t="s">
        <v>474</v>
      </c>
      <c r="H147" t="s">
        <v>40</v>
      </c>
      <c r="I147">
        <v>-7.8276050000000001</v>
      </c>
      <c r="J147">
        <v>110.213348</v>
      </c>
      <c r="K147">
        <v>4.7670000000000003</v>
      </c>
      <c r="L147">
        <v>44.182000000000002</v>
      </c>
      <c r="M147">
        <v>9.2690000000000001</v>
      </c>
      <c r="N147" t="s">
        <v>31</v>
      </c>
      <c r="O147" t="s">
        <v>358</v>
      </c>
      <c r="P147">
        <v>10.781000000000001</v>
      </c>
      <c r="Q147">
        <v>33.4</v>
      </c>
      <c r="R147" s="2" t="s">
        <v>475</v>
      </c>
      <c r="S147" s="2" t="s">
        <v>476</v>
      </c>
      <c r="T147" s="2" t="s">
        <v>477</v>
      </c>
      <c r="U147" s="3" t="s">
        <v>114</v>
      </c>
      <c r="V147" s="3" t="s">
        <v>353</v>
      </c>
      <c r="W147" t="str">
        <f t="shared" si="2"/>
        <v>Y</v>
      </c>
      <c r="X147" s="3" t="s">
        <v>348</v>
      </c>
      <c r="Y147" s="3"/>
      <c r="Z147" s="3" t="s">
        <v>478</v>
      </c>
    </row>
    <row r="148" spans="1:26" x14ac:dyDescent="0.3">
      <c r="A148">
        <v>1536</v>
      </c>
      <c r="B148" t="s">
        <v>479</v>
      </c>
      <c r="C148" t="s">
        <v>469</v>
      </c>
      <c r="E148">
        <v>-7.8231909999999996</v>
      </c>
      <c r="F148">
        <v>110.213644</v>
      </c>
      <c r="G148" t="s">
        <v>480</v>
      </c>
      <c r="H148" t="s">
        <v>40</v>
      </c>
      <c r="I148">
        <v>-7.8239679999999998</v>
      </c>
      <c r="J148">
        <v>110.211718</v>
      </c>
      <c r="K148">
        <v>2.8639999999999999</v>
      </c>
      <c r="L148">
        <v>34.768000000000001</v>
      </c>
      <c r="M148">
        <v>12.1401</v>
      </c>
      <c r="N148" t="s">
        <v>31</v>
      </c>
      <c r="O148" t="s">
        <v>358</v>
      </c>
      <c r="P148">
        <v>25.837</v>
      </c>
      <c r="Q148">
        <v>8.9309999999999992</v>
      </c>
      <c r="R148" s="2" t="s">
        <v>481</v>
      </c>
      <c r="S148" s="2" t="s">
        <v>482</v>
      </c>
      <c r="T148" s="2" t="s">
        <v>483</v>
      </c>
      <c r="U148" s="3" t="s">
        <v>114</v>
      </c>
      <c r="V148" s="3" t="s">
        <v>353</v>
      </c>
      <c r="W148" t="str">
        <f>IF(LEFT(V148,1)="","",IF(ISNUMBER(SEARCH(LEFT(V148,1),"ABCDG")),"Y",IF(ISNUMBER(SEARCH(LEFT(V148,1),"EFH")),"T",IF(LEFT(V148,1)="I","cek",""))))</f>
        <v>Y</v>
      </c>
      <c r="X148" s="3" t="s">
        <v>348</v>
      </c>
      <c r="Y148" s="3"/>
      <c r="Z148" s="3" t="s">
        <v>478</v>
      </c>
    </row>
    <row r="149" spans="1:26" x14ac:dyDescent="0.3">
      <c r="A149">
        <v>1804</v>
      </c>
      <c r="B149" t="s">
        <v>484</v>
      </c>
      <c r="C149" t="s">
        <v>469</v>
      </c>
      <c r="E149">
        <v>-7.8167780000000002</v>
      </c>
      <c r="F149">
        <v>110.171029</v>
      </c>
      <c r="G149" t="s">
        <v>485</v>
      </c>
      <c r="H149" t="s">
        <v>40</v>
      </c>
      <c r="I149">
        <v>-7.8146060000000004</v>
      </c>
      <c r="J149">
        <v>110.17103899999999</v>
      </c>
      <c r="K149">
        <v>3.0030000000000001</v>
      </c>
      <c r="L149">
        <v>36.557000000000002</v>
      </c>
      <c r="M149">
        <v>12.1744</v>
      </c>
      <c r="N149" t="s">
        <v>31</v>
      </c>
      <c r="O149" t="s">
        <v>358</v>
      </c>
      <c r="P149">
        <v>9.4420000000000002</v>
      </c>
      <c r="Q149">
        <v>27.116</v>
      </c>
      <c r="R149" s="4" t="s">
        <v>486</v>
      </c>
      <c r="S149" s="2" t="s">
        <v>487</v>
      </c>
      <c r="T149" s="2" t="s">
        <v>488</v>
      </c>
      <c r="U149" s="3" t="s">
        <v>114</v>
      </c>
      <c r="V149" s="3" t="s">
        <v>353</v>
      </c>
      <c r="W149" t="str">
        <f>IF(LEFT(V149,1)="","",IF(ISNUMBER(SEARCH(LEFT(V149,1),"ABCDG")),"Y",IF(ISNUMBER(SEARCH(LEFT(V149,1),"EFH")),"T",IF(LEFT(V149,1)="I","cek",""))))</f>
        <v>Y</v>
      </c>
      <c r="X149" s="3" t="s">
        <v>348</v>
      </c>
      <c r="Y149" s="3"/>
      <c r="Z149" s="3" t="s">
        <v>478</v>
      </c>
    </row>
    <row r="150" spans="1:26" x14ac:dyDescent="0.3">
      <c r="A150">
        <v>2005</v>
      </c>
      <c r="B150" t="s">
        <v>489</v>
      </c>
      <c r="C150" t="s">
        <v>469</v>
      </c>
      <c r="E150">
        <v>-7.8231929999999998</v>
      </c>
      <c r="F150">
        <v>110.214551</v>
      </c>
      <c r="G150" t="s">
        <v>480</v>
      </c>
      <c r="H150" t="s">
        <v>40</v>
      </c>
      <c r="I150">
        <v>-7.8239679999999998</v>
      </c>
      <c r="J150">
        <v>110.211718</v>
      </c>
      <c r="K150">
        <v>4.0490000000000004</v>
      </c>
      <c r="L150">
        <v>33.695999999999998</v>
      </c>
      <c r="M150">
        <v>8.3214000000000006</v>
      </c>
      <c r="N150" t="s">
        <v>31</v>
      </c>
      <c r="O150" t="s">
        <v>358</v>
      </c>
      <c r="P150">
        <v>24.763999999999999</v>
      </c>
      <c r="Q150">
        <v>8.9309999999999992</v>
      </c>
      <c r="R150" s="2" t="s">
        <v>490</v>
      </c>
      <c r="S150" s="2" t="s">
        <v>482</v>
      </c>
      <c r="T150" s="2" t="s">
        <v>491</v>
      </c>
      <c r="U150" s="3" t="s">
        <v>114</v>
      </c>
      <c r="V150" s="3" t="s">
        <v>353</v>
      </c>
      <c r="W150" t="str">
        <f>IF(LEFT(V150,1)="","",IF(ISNUMBER(SEARCH(LEFT(V150,1),"ABCDG")),"Y",IF(ISNUMBER(SEARCH(LEFT(V150,1),"EFH")),"T",IF(LEFT(V150,1)="I","cek",""))))</f>
        <v>Y</v>
      </c>
      <c r="X150" s="3" t="s">
        <v>348</v>
      </c>
      <c r="Y150" s="3"/>
      <c r="Z150" s="3" t="s">
        <v>478</v>
      </c>
    </row>
    <row r="151" spans="1:26" x14ac:dyDescent="0.3">
      <c r="A151">
        <v>2919</v>
      </c>
      <c r="B151" t="s">
        <v>492</v>
      </c>
      <c r="C151" t="s">
        <v>469</v>
      </c>
      <c r="E151">
        <v>-7.8176860000000001</v>
      </c>
      <c r="F151">
        <v>110.17284100000001</v>
      </c>
      <c r="G151" t="s">
        <v>485</v>
      </c>
      <c r="H151" t="s">
        <v>40</v>
      </c>
      <c r="I151">
        <v>-7.8146060000000004</v>
      </c>
      <c r="J151">
        <v>110.17103899999999</v>
      </c>
      <c r="K151">
        <v>4.9290000000000003</v>
      </c>
      <c r="L151">
        <v>43.945999999999998</v>
      </c>
      <c r="M151">
        <v>8.9152000000000005</v>
      </c>
      <c r="N151" t="s">
        <v>31</v>
      </c>
      <c r="O151" t="s">
        <v>358</v>
      </c>
      <c r="P151">
        <v>18.331</v>
      </c>
      <c r="Q151">
        <v>25.614999999999998</v>
      </c>
      <c r="R151" s="2" t="s">
        <v>493</v>
      </c>
      <c r="S151" s="2" t="s">
        <v>487</v>
      </c>
      <c r="T151" s="2" t="s">
        <v>494</v>
      </c>
      <c r="U151" s="3" t="s">
        <v>114</v>
      </c>
      <c r="V151" s="3" t="s">
        <v>353</v>
      </c>
      <c r="W151" t="str">
        <f>IF(LEFT(V151,1)="","",IF(ISNUMBER(SEARCH(LEFT(V151,1),"ABCDG")),"Y",IF(ISNUMBER(SEARCH(LEFT(V151,1),"EFH")),"T",IF(LEFT(V151,1)="I","cek",""))))</f>
        <v>Y</v>
      </c>
      <c r="X151" s="3" t="s">
        <v>348</v>
      </c>
      <c r="Y151" s="3"/>
      <c r="Z151" s="3" t="s">
        <v>478</v>
      </c>
    </row>
    <row r="152" spans="1:26" x14ac:dyDescent="0.3">
      <c r="A152">
        <v>4108</v>
      </c>
      <c r="B152" t="s">
        <v>495</v>
      </c>
      <c r="C152" t="s">
        <v>469</v>
      </c>
      <c r="E152">
        <v>-7.8647609999999997</v>
      </c>
      <c r="F152">
        <v>110.194518</v>
      </c>
      <c r="G152" t="s">
        <v>496</v>
      </c>
      <c r="H152" t="s">
        <v>40</v>
      </c>
      <c r="I152">
        <v>-7.8646839999999996</v>
      </c>
      <c r="J152">
        <v>110.191643</v>
      </c>
      <c r="K152">
        <v>3.964</v>
      </c>
      <c r="L152">
        <v>37.054000000000002</v>
      </c>
      <c r="M152">
        <v>9.3483999999999998</v>
      </c>
      <c r="N152" t="s">
        <v>31</v>
      </c>
      <c r="O152" t="s">
        <v>358</v>
      </c>
      <c r="P152">
        <v>10.212</v>
      </c>
      <c r="Q152">
        <v>26.841999999999999</v>
      </c>
      <c r="R152" s="2" t="s">
        <v>497</v>
      </c>
      <c r="S152" s="2" t="s">
        <v>498</v>
      </c>
      <c r="T152" s="2" t="s">
        <v>499</v>
      </c>
      <c r="U152" s="3" t="s">
        <v>35</v>
      </c>
      <c r="V152" s="3" t="s">
        <v>353</v>
      </c>
      <c r="W152" t="str">
        <f>IF(LEFT(V152,1)="","",IF(ISNUMBER(SEARCH(LEFT(V152,1),"ABCDG")),"Y",IF(ISNUMBER(SEARCH(LEFT(V152,1),"EFH")),"T",IF(LEFT(V152,1)="I","cek",""))))</f>
        <v>Y</v>
      </c>
      <c r="X152" s="3" t="s">
        <v>348</v>
      </c>
      <c r="Y152" s="3"/>
      <c r="Z152" s="3" t="s">
        <v>478</v>
      </c>
    </row>
    <row r="153" spans="1:26" x14ac:dyDescent="0.3">
      <c r="A153">
        <v>4199</v>
      </c>
      <c r="B153" t="s">
        <v>500</v>
      </c>
      <c r="C153" t="s">
        <v>469</v>
      </c>
      <c r="E153">
        <v>-7.815874</v>
      </c>
      <c r="F153">
        <v>110.171031</v>
      </c>
      <c r="G153" t="s">
        <v>485</v>
      </c>
      <c r="H153" t="s">
        <v>40</v>
      </c>
      <c r="I153">
        <v>-7.8146060000000004</v>
      </c>
      <c r="J153">
        <v>110.17103899999999</v>
      </c>
      <c r="K153">
        <v>1.7529999999999999</v>
      </c>
      <c r="L153">
        <v>36.988</v>
      </c>
      <c r="M153">
        <v>21.1021</v>
      </c>
      <c r="N153" t="s">
        <v>31</v>
      </c>
      <c r="O153" t="s">
        <v>358</v>
      </c>
      <c r="P153">
        <v>9.2910000000000004</v>
      </c>
      <c r="Q153">
        <v>27.696000000000002</v>
      </c>
      <c r="R153" s="2" t="s">
        <v>501</v>
      </c>
      <c r="S153" s="2" t="s">
        <v>487</v>
      </c>
      <c r="T153" s="2" t="s">
        <v>502</v>
      </c>
      <c r="U153" s="3" t="s">
        <v>114</v>
      </c>
      <c r="V153" s="3" t="s">
        <v>353</v>
      </c>
      <c r="W153" t="str">
        <f>IF(LEFT(V153,1)="","",IF(ISNUMBER(SEARCH(LEFT(V153,1),"ABCDG")),"Y",IF(ISNUMBER(SEARCH(LEFT(V153,1),"EFH")),"T",IF(LEFT(V153,1)="I","cek",""))))</f>
        <v>Y</v>
      </c>
      <c r="X153" s="3" t="s">
        <v>348</v>
      </c>
      <c r="Y153" s="3"/>
      <c r="Z153" s="3" t="s">
        <v>478</v>
      </c>
    </row>
    <row r="154" spans="1:26" x14ac:dyDescent="0.3">
      <c r="A154">
        <v>4484</v>
      </c>
      <c r="B154" t="s">
        <v>79</v>
      </c>
      <c r="C154" t="s">
        <v>469</v>
      </c>
      <c r="D154" t="s">
        <v>80</v>
      </c>
      <c r="E154">
        <v>-7.8221759999999998</v>
      </c>
      <c r="F154">
        <v>110.156507</v>
      </c>
      <c r="G154" t="s">
        <v>81</v>
      </c>
      <c r="H154" t="s">
        <v>30</v>
      </c>
      <c r="I154">
        <v>-7.8249680000000001</v>
      </c>
      <c r="J154">
        <v>110.154332</v>
      </c>
      <c r="K154">
        <v>4.8860000000000001</v>
      </c>
      <c r="L154">
        <v>32.698999999999998</v>
      </c>
      <c r="M154">
        <v>6.6920999999999999</v>
      </c>
      <c r="N154" t="s">
        <v>31</v>
      </c>
      <c r="O154" t="s">
        <v>351</v>
      </c>
      <c r="P154">
        <v>31.347000000000001</v>
      </c>
      <c r="Q154">
        <v>1.353</v>
      </c>
      <c r="R154" s="2" t="s">
        <v>82</v>
      </c>
      <c r="S154" s="2" t="s">
        <v>83</v>
      </c>
      <c r="T154" s="2" t="s">
        <v>503</v>
      </c>
      <c r="U154" s="3" t="s">
        <v>35</v>
      </c>
      <c r="V154" s="3" t="s">
        <v>353</v>
      </c>
      <c r="W154" t="str">
        <f t="shared" si="2"/>
        <v>Y</v>
      </c>
      <c r="X154" s="3" t="s">
        <v>348</v>
      </c>
      <c r="Y154" s="3"/>
      <c r="Z154" s="3" t="s">
        <v>478</v>
      </c>
    </row>
    <row r="155" spans="1:26" x14ac:dyDescent="0.3">
      <c r="A155">
        <v>5108</v>
      </c>
      <c r="B155" t="s">
        <v>504</v>
      </c>
      <c r="C155" t="s">
        <v>469</v>
      </c>
      <c r="E155">
        <v>-7.856344</v>
      </c>
      <c r="F155">
        <v>110.061201</v>
      </c>
      <c r="G155" t="s">
        <v>505</v>
      </c>
      <c r="H155" t="s">
        <v>40</v>
      </c>
      <c r="I155">
        <v>-7.8592560000000002</v>
      </c>
      <c r="J155">
        <v>110.061865</v>
      </c>
      <c r="K155">
        <v>4.1269999999999998</v>
      </c>
      <c r="L155">
        <v>65.88</v>
      </c>
      <c r="M155">
        <v>15.961399999999999</v>
      </c>
      <c r="N155" t="s">
        <v>31</v>
      </c>
      <c r="O155" t="s">
        <v>358</v>
      </c>
      <c r="P155">
        <v>6.8109999999999999</v>
      </c>
      <c r="Q155">
        <v>59.069000000000003</v>
      </c>
      <c r="R155" s="2" t="s">
        <v>506</v>
      </c>
      <c r="S155" s="2" t="s">
        <v>507</v>
      </c>
      <c r="T155" s="2" t="s">
        <v>508</v>
      </c>
      <c r="U155" s="3" t="s">
        <v>114</v>
      </c>
      <c r="V155" s="3" t="s">
        <v>353</v>
      </c>
      <c r="W155" t="str">
        <f>IF(LEFT(V155,1)="","",IF(ISNUMBER(SEARCH(LEFT(V155,1),"ABCDG")),"Y",IF(ISNUMBER(SEARCH(LEFT(V155,1),"EFH")),"T",IF(LEFT(V155,1)="I","cek",""))))</f>
        <v>Y</v>
      </c>
      <c r="X155" s="3" t="s">
        <v>348</v>
      </c>
      <c r="Y155" s="3"/>
      <c r="Z155" s="3" t="s">
        <v>478</v>
      </c>
    </row>
    <row r="156" spans="1:26" x14ac:dyDescent="0.3">
      <c r="A156">
        <v>5481</v>
      </c>
      <c r="B156" t="s">
        <v>85</v>
      </c>
      <c r="C156" t="s">
        <v>469</v>
      </c>
      <c r="D156" t="s">
        <v>80</v>
      </c>
      <c r="E156">
        <v>-7.8221749999999997</v>
      </c>
      <c r="F156">
        <v>110.15560000000001</v>
      </c>
      <c r="G156" t="s">
        <v>81</v>
      </c>
      <c r="H156" t="s">
        <v>30</v>
      </c>
      <c r="I156">
        <v>-7.8249680000000001</v>
      </c>
      <c r="J156">
        <v>110.154332</v>
      </c>
      <c r="K156">
        <v>4.2380000000000004</v>
      </c>
      <c r="L156">
        <v>31.77</v>
      </c>
      <c r="M156">
        <v>7.4960000000000004</v>
      </c>
      <c r="N156" t="s">
        <v>31</v>
      </c>
      <c r="O156" t="s">
        <v>351</v>
      </c>
      <c r="P156">
        <v>30.417000000000002</v>
      </c>
      <c r="Q156">
        <v>1.353</v>
      </c>
      <c r="R156" s="2" t="s">
        <v>86</v>
      </c>
      <c r="S156" s="2" t="s">
        <v>83</v>
      </c>
      <c r="T156" s="2" t="s">
        <v>509</v>
      </c>
      <c r="U156" s="3" t="s">
        <v>35</v>
      </c>
      <c r="V156" s="3" t="s">
        <v>353</v>
      </c>
      <c r="W156" t="str">
        <f t="shared" si="2"/>
        <v>Y</v>
      </c>
      <c r="X156" s="3" t="s">
        <v>348</v>
      </c>
      <c r="Y156" s="3"/>
      <c r="Z156" s="3" t="s">
        <v>478</v>
      </c>
    </row>
    <row r="157" spans="1:26" x14ac:dyDescent="0.3">
      <c r="A157">
        <v>5878</v>
      </c>
      <c r="B157" t="s">
        <v>510</v>
      </c>
      <c r="C157" t="s">
        <v>469</v>
      </c>
      <c r="E157">
        <v>-7.8240970000000001</v>
      </c>
      <c r="F157">
        <v>110.21455</v>
      </c>
      <c r="G157" t="s">
        <v>480</v>
      </c>
      <c r="H157" t="s">
        <v>40</v>
      </c>
      <c r="I157">
        <v>-7.8239679999999998</v>
      </c>
      <c r="J157">
        <v>110.211718</v>
      </c>
      <c r="K157">
        <v>3.907</v>
      </c>
      <c r="L157">
        <v>34.734000000000002</v>
      </c>
      <c r="M157">
        <v>8.8911999999999995</v>
      </c>
      <c r="N157" t="s">
        <v>31</v>
      </c>
      <c r="O157" t="s">
        <v>358</v>
      </c>
      <c r="P157">
        <v>25.462</v>
      </c>
      <c r="Q157">
        <v>9.2720000000000002</v>
      </c>
      <c r="R157" s="2" t="s">
        <v>511</v>
      </c>
      <c r="S157" s="2" t="s">
        <v>482</v>
      </c>
      <c r="T157" s="2" t="s">
        <v>512</v>
      </c>
      <c r="U157" s="3" t="s">
        <v>114</v>
      </c>
      <c r="V157" s="3" t="s">
        <v>353</v>
      </c>
      <c r="W157" t="str">
        <f>IF(LEFT(V157,1)="","",IF(ISNUMBER(SEARCH(LEFT(V157,1),"ABCDG")),"Y",IF(ISNUMBER(SEARCH(LEFT(V157,1),"EFH")),"T",IF(LEFT(V157,1)="I","cek",""))))</f>
        <v>Y</v>
      </c>
      <c r="X157" s="3" t="s">
        <v>348</v>
      </c>
      <c r="Y157" s="3"/>
      <c r="Z157" s="3" t="s">
        <v>478</v>
      </c>
    </row>
    <row r="158" spans="1:26" x14ac:dyDescent="0.3">
      <c r="A158">
        <v>5970</v>
      </c>
      <c r="B158" t="s">
        <v>513</v>
      </c>
      <c r="C158" t="s">
        <v>469</v>
      </c>
      <c r="E158">
        <v>-7.8212809999999999</v>
      </c>
      <c r="F158">
        <v>110.161044</v>
      </c>
      <c r="G158" t="s">
        <v>514</v>
      </c>
      <c r="H158" t="s">
        <v>40</v>
      </c>
      <c r="I158">
        <v>-7.8244319999999998</v>
      </c>
      <c r="J158">
        <v>110.159622</v>
      </c>
      <c r="K158">
        <v>4.7750000000000004</v>
      </c>
      <c r="L158">
        <v>45.100999999999999</v>
      </c>
      <c r="M158">
        <v>9.4452999999999996</v>
      </c>
      <c r="N158" t="s">
        <v>31</v>
      </c>
      <c r="O158" t="s">
        <v>358</v>
      </c>
      <c r="P158">
        <v>9.7859999999999996</v>
      </c>
      <c r="Q158">
        <v>35.314999999999998</v>
      </c>
      <c r="R158" s="2" t="s">
        <v>515</v>
      </c>
      <c r="S158" s="2" t="s">
        <v>516</v>
      </c>
      <c r="T158" s="2" t="s">
        <v>517</v>
      </c>
      <c r="U158" s="3" t="s">
        <v>114</v>
      </c>
      <c r="V158" s="3" t="s">
        <v>353</v>
      </c>
      <c r="W158" t="str">
        <f>IF(LEFT(V158,1)="","",IF(ISNUMBER(SEARCH(LEFT(V158,1),"ABCDG")),"Y",IF(ISNUMBER(SEARCH(LEFT(V158,1),"EFH")),"T",IF(LEFT(V158,1)="I","cek",""))))</f>
        <v>Y</v>
      </c>
      <c r="X158" s="3" t="s">
        <v>348</v>
      </c>
      <c r="Y158" s="3"/>
      <c r="Z158" s="3" t="s">
        <v>478</v>
      </c>
    </row>
    <row r="159" spans="1:26" x14ac:dyDescent="0.3">
      <c r="A159">
        <v>6574</v>
      </c>
      <c r="B159" t="s">
        <v>518</v>
      </c>
      <c r="C159" t="s">
        <v>469</v>
      </c>
      <c r="E159">
        <v>-7.8222870000000002</v>
      </c>
      <c r="F159">
        <v>110.213646</v>
      </c>
      <c r="G159" t="s">
        <v>480</v>
      </c>
      <c r="H159" t="s">
        <v>40</v>
      </c>
      <c r="I159">
        <v>-7.8239679999999998</v>
      </c>
      <c r="J159">
        <v>110.211718</v>
      </c>
      <c r="K159">
        <v>3.53</v>
      </c>
      <c r="L159">
        <v>35.034999999999997</v>
      </c>
      <c r="M159">
        <v>9.9244000000000003</v>
      </c>
      <c r="N159" t="s">
        <v>31</v>
      </c>
      <c r="O159" t="s">
        <v>358</v>
      </c>
      <c r="P159">
        <v>26.103999999999999</v>
      </c>
      <c r="Q159">
        <v>8.9309999999999992</v>
      </c>
      <c r="R159" s="2" t="s">
        <v>519</v>
      </c>
      <c r="S159" s="2" t="s">
        <v>482</v>
      </c>
      <c r="T159" s="2" t="s">
        <v>520</v>
      </c>
      <c r="U159" s="3" t="s">
        <v>114</v>
      </c>
      <c r="V159" s="3" t="s">
        <v>353</v>
      </c>
      <c r="W159" t="str">
        <f>IF(LEFT(V159,1)="","",IF(ISNUMBER(SEARCH(LEFT(V159,1),"ABCDG")),"Y",IF(ISNUMBER(SEARCH(LEFT(V159,1),"EFH")),"T",IF(LEFT(V159,1)="I","cek",""))))</f>
        <v>Y</v>
      </c>
      <c r="X159" s="3" t="s">
        <v>348</v>
      </c>
      <c r="Y159" s="3"/>
      <c r="Z159" s="3" t="s">
        <v>478</v>
      </c>
    </row>
    <row r="160" spans="1:26" x14ac:dyDescent="0.3">
      <c r="A160">
        <v>6919</v>
      </c>
      <c r="B160" t="s">
        <v>521</v>
      </c>
      <c r="C160" t="s">
        <v>469</v>
      </c>
      <c r="E160">
        <v>-7.8221850000000002</v>
      </c>
      <c r="F160">
        <v>110.16104199999999</v>
      </c>
      <c r="G160" t="s">
        <v>514</v>
      </c>
      <c r="H160" t="s">
        <v>40</v>
      </c>
      <c r="I160">
        <v>-7.8244319999999998</v>
      </c>
      <c r="J160">
        <v>110.159622</v>
      </c>
      <c r="K160">
        <v>3.67</v>
      </c>
      <c r="L160">
        <v>45.822000000000003</v>
      </c>
      <c r="M160">
        <v>12.486599999999999</v>
      </c>
      <c r="N160" t="s">
        <v>31</v>
      </c>
      <c r="O160" t="s">
        <v>358</v>
      </c>
      <c r="P160">
        <v>10.534000000000001</v>
      </c>
      <c r="Q160">
        <v>35.287999999999997</v>
      </c>
      <c r="R160" s="2" t="s">
        <v>522</v>
      </c>
      <c r="S160" s="2" t="s">
        <v>516</v>
      </c>
      <c r="T160" s="2" t="s">
        <v>523</v>
      </c>
      <c r="U160" s="3" t="s">
        <v>35</v>
      </c>
      <c r="V160" s="3" t="s">
        <v>353</v>
      </c>
      <c r="W160" t="str">
        <f>IF(LEFT(V160,1)="","",IF(ISNUMBER(SEARCH(LEFT(V160,1),"ABCDG")),"Y",IF(ISNUMBER(SEARCH(LEFT(V160,1),"EFH")),"T",IF(LEFT(V160,1)="I","cek",""))))</f>
        <v>Y</v>
      </c>
      <c r="X160" s="3" t="s">
        <v>348</v>
      </c>
      <c r="Y160" s="3"/>
      <c r="Z160" s="3" t="s">
        <v>478</v>
      </c>
    </row>
    <row r="161" spans="1:26" x14ac:dyDescent="0.3">
      <c r="A161">
        <v>7129</v>
      </c>
      <c r="B161" t="s">
        <v>524</v>
      </c>
      <c r="C161" t="s">
        <v>469</v>
      </c>
      <c r="E161">
        <v>-7.8212789999999996</v>
      </c>
      <c r="F161">
        <v>110.16013700000001</v>
      </c>
      <c r="G161" t="s">
        <v>514</v>
      </c>
      <c r="H161" t="s">
        <v>40</v>
      </c>
      <c r="I161">
        <v>-7.8244319999999998</v>
      </c>
      <c r="J161">
        <v>110.159622</v>
      </c>
      <c r="K161">
        <v>4.4139999999999997</v>
      </c>
      <c r="L161">
        <v>43.713999999999999</v>
      </c>
      <c r="M161">
        <v>9.9024000000000001</v>
      </c>
      <c r="N161" t="s">
        <v>31</v>
      </c>
      <c r="O161" t="s">
        <v>358</v>
      </c>
      <c r="P161">
        <v>11.016999999999999</v>
      </c>
      <c r="Q161">
        <v>32.697000000000003</v>
      </c>
      <c r="R161" s="4" t="s">
        <v>525</v>
      </c>
      <c r="S161" s="2" t="s">
        <v>516</v>
      </c>
      <c r="T161" s="2" t="s">
        <v>526</v>
      </c>
      <c r="U161" s="3" t="s">
        <v>35</v>
      </c>
      <c r="V161" s="3" t="s">
        <v>353</v>
      </c>
      <c r="W161" t="str">
        <f>IF(LEFT(V161,1)="","",IF(ISNUMBER(SEARCH(LEFT(V161,1),"ABCDG")),"Y",IF(ISNUMBER(SEARCH(LEFT(V161,1),"EFH")),"T",IF(LEFT(V161,1)="I","cek",""))))</f>
        <v>Y</v>
      </c>
      <c r="X161" s="3" t="s">
        <v>348</v>
      </c>
      <c r="Y161" s="3"/>
      <c r="Z161" s="3" t="s">
        <v>478</v>
      </c>
    </row>
    <row r="162" spans="1:26" x14ac:dyDescent="0.3">
      <c r="A162">
        <v>7393</v>
      </c>
      <c r="B162" t="s">
        <v>102</v>
      </c>
      <c r="C162" t="s">
        <v>469</v>
      </c>
      <c r="D162" t="s">
        <v>80</v>
      </c>
      <c r="E162">
        <v>-7.8230789999999999</v>
      </c>
      <c r="F162">
        <v>110.155598</v>
      </c>
      <c r="G162" t="s">
        <v>81</v>
      </c>
      <c r="H162" t="s">
        <v>30</v>
      </c>
      <c r="I162">
        <v>-7.8249680000000001</v>
      </c>
      <c r="J162">
        <v>110.154332</v>
      </c>
      <c r="K162">
        <v>3.141</v>
      </c>
      <c r="L162">
        <v>32.843000000000004</v>
      </c>
      <c r="M162">
        <v>10.4574</v>
      </c>
      <c r="N162" t="s">
        <v>31</v>
      </c>
      <c r="O162" t="s">
        <v>351</v>
      </c>
      <c r="P162">
        <v>31.491</v>
      </c>
      <c r="Q162">
        <v>1.353</v>
      </c>
      <c r="R162" s="2" t="s">
        <v>103</v>
      </c>
      <c r="S162" s="2" t="s">
        <v>83</v>
      </c>
      <c r="T162" s="2" t="s">
        <v>527</v>
      </c>
      <c r="U162" s="3" t="s">
        <v>35</v>
      </c>
      <c r="V162" s="3" t="s">
        <v>353</v>
      </c>
      <c r="W162" t="str">
        <f t="shared" si="2"/>
        <v>Y</v>
      </c>
      <c r="X162" s="3" t="s">
        <v>348</v>
      </c>
      <c r="Y162" s="3"/>
      <c r="Z162" s="3" t="s">
        <v>478</v>
      </c>
    </row>
    <row r="163" spans="1:26" x14ac:dyDescent="0.3">
      <c r="A163">
        <v>7635</v>
      </c>
      <c r="B163" t="s">
        <v>528</v>
      </c>
      <c r="C163" t="s">
        <v>469</v>
      </c>
      <c r="E163">
        <v>-7.8167770000000001</v>
      </c>
      <c r="F163">
        <v>110.17012200000001</v>
      </c>
      <c r="G163" t="s">
        <v>485</v>
      </c>
      <c r="H163" t="s">
        <v>40</v>
      </c>
      <c r="I163">
        <v>-7.8146060000000004</v>
      </c>
      <c r="J163">
        <v>110.17103899999999</v>
      </c>
      <c r="K163">
        <v>3.2549999999999999</v>
      </c>
      <c r="L163">
        <v>38.085000000000001</v>
      </c>
      <c r="M163">
        <v>11.6989</v>
      </c>
      <c r="N163" t="s">
        <v>31</v>
      </c>
      <c r="O163" t="s">
        <v>358</v>
      </c>
      <c r="P163">
        <v>8.4990000000000006</v>
      </c>
      <c r="Q163">
        <v>29.585999999999999</v>
      </c>
      <c r="R163" s="2" t="s">
        <v>529</v>
      </c>
      <c r="S163" s="2" t="s">
        <v>487</v>
      </c>
      <c r="T163" s="2" t="s">
        <v>530</v>
      </c>
      <c r="U163" s="3" t="s">
        <v>35</v>
      </c>
      <c r="V163" s="3" t="s">
        <v>353</v>
      </c>
      <c r="W163" t="str">
        <f>IF(LEFT(V163,1)="","",IF(ISNUMBER(SEARCH(LEFT(V163,1),"ABCDG")),"Y",IF(ISNUMBER(SEARCH(LEFT(V163,1),"EFH")),"T",IF(LEFT(V163,1)="I","cek",""))))</f>
        <v>Y</v>
      </c>
      <c r="X163" s="3" t="s">
        <v>348</v>
      </c>
      <c r="Y163" s="3"/>
      <c r="Z163" s="3" t="s">
        <v>478</v>
      </c>
    </row>
    <row r="164" spans="1:26" x14ac:dyDescent="0.3">
      <c r="A164">
        <v>7834</v>
      </c>
      <c r="B164" t="s">
        <v>108</v>
      </c>
      <c r="C164" t="s">
        <v>469</v>
      </c>
      <c r="D164" t="s">
        <v>109</v>
      </c>
      <c r="E164">
        <v>-7.766114</v>
      </c>
      <c r="F164">
        <v>110.16387400000001</v>
      </c>
      <c r="G164" t="s">
        <v>110</v>
      </c>
      <c r="H164" t="s">
        <v>40</v>
      </c>
      <c r="I164">
        <v>-7.7644149999999996</v>
      </c>
      <c r="J164">
        <v>110.16632300000001</v>
      </c>
      <c r="K164">
        <v>4.1120000000000001</v>
      </c>
      <c r="L164">
        <v>73.260000000000005</v>
      </c>
      <c r="M164">
        <v>17.816600000000001</v>
      </c>
      <c r="N164" t="s">
        <v>31</v>
      </c>
      <c r="O164" t="s">
        <v>346</v>
      </c>
      <c r="P164">
        <v>73.260000000000005</v>
      </c>
      <c r="Q164">
        <v>0</v>
      </c>
      <c r="R164" s="2" t="s">
        <v>111</v>
      </c>
      <c r="S164" s="2" t="s">
        <v>112</v>
      </c>
      <c r="T164" s="2" t="s">
        <v>531</v>
      </c>
      <c r="U164" s="3" t="s">
        <v>114</v>
      </c>
      <c r="V164" s="3" t="s">
        <v>115</v>
      </c>
      <c r="W164" t="str">
        <f t="shared" si="2"/>
        <v>Y</v>
      </c>
      <c r="X164" s="3" t="s">
        <v>348</v>
      </c>
      <c r="Y164" s="3"/>
      <c r="Z164" s="3" t="s">
        <v>478</v>
      </c>
    </row>
    <row r="165" spans="1:26" x14ac:dyDescent="0.3">
      <c r="A165">
        <v>7993</v>
      </c>
      <c r="B165" t="s">
        <v>532</v>
      </c>
      <c r="C165" t="s">
        <v>469</v>
      </c>
      <c r="E165">
        <v>-7.8213819999999998</v>
      </c>
      <c r="F165">
        <v>110.21364800000001</v>
      </c>
      <c r="G165" t="s">
        <v>480</v>
      </c>
      <c r="H165" t="s">
        <v>40</v>
      </c>
      <c r="I165">
        <v>-7.8239679999999998</v>
      </c>
      <c r="J165">
        <v>110.211718</v>
      </c>
      <c r="K165">
        <v>4.4550000000000001</v>
      </c>
      <c r="L165">
        <v>31.86</v>
      </c>
      <c r="M165">
        <v>7.1513</v>
      </c>
      <c r="N165" t="s">
        <v>31</v>
      </c>
      <c r="O165" t="s">
        <v>358</v>
      </c>
      <c r="P165">
        <v>27.983000000000001</v>
      </c>
      <c r="Q165">
        <v>3.8759999999999999</v>
      </c>
      <c r="R165" s="2" t="s">
        <v>533</v>
      </c>
      <c r="S165" s="2" t="s">
        <v>482</v>
      </c>
      <c r="T165" s="2" t="s">
        <v>534</v>
      </c>
      <c r="U165" s="3" t="s">
        <v>152</v>
      </c>
      <c r="V165" s="3" t="s">
        <v>353</v>
      </c>
      <c r="W165" t="str">
        <f>IF(LEFT(V165,1)="","",IF(ISNUMBER(SEARCH(LEFT(V165,1),"ABCDG")),"Y",IF(ISNUMBER(SEARCH(LEFT(V165,1),"EFH")),"T",IF(LEFT(V165,1)="I","cek",""))))</f>
        <v>Y</v>
      </c>
      <c r="X165" s="3" t="s">
        <v>348</v>
      </c>
      <c r="Y165" s="3"/>
      <c r="Z165" s="3" t="s">
        <v>478</v>
      </c>
    </row>
    <row r="166" spans="1:26" x14ac:dyDescent="0.3">
      <c r="A166">
        <v>8666</v>
      </c>
      <c r="B166" t="s">
        <v>535</v>
      </c>
      <c r="C166" t="s">
        <v>469</v>
      </c>
      <c r="E166">
        <v>-7.8259080000000001</v>
      </c>
      <c r="F166">
        <v>110.215453</v>
      </c>
      <c r="G166" t="s">
        <v>474</v>
      </c>
      <c r="H166" t="s">
        <v>40</v>
      </c>
      <c r="I166">
        <v>-7.8276050000000001</v>
      </c>
      <c r="J166">
        <v>110.213348</v>
      </c>
      <c r="K166">
        <v>3.7309999999999999</v>
      </c>
      <c r="L166">
        <v>45.938000000000002</v>
      </c>
      <c r="M166">
        <v>12.314</v>
      </c>
      <c r="N166" t="s">
        <v>31</v>
      </c>
      <c r="O166" t="s">
        <v>358</v>
      </c>
      <c r="P166">
        <v>12.538</v>
      </c>
      <c r="Q166">
        <v>33.4</v>
      </c>
      <c r="R166" s="2" t="s">
        <v>536</v>
      </c>
      <c r="S166" s="2" t="s">
        <v>476</v>
      </c>
      <c r="T166" s="2" t="s">
        <v>537</v>
      </c>
      <c r="U166" s="3" t="s">
        <v>114</v>
      </c>
      <c r="V166" s="3" t="s">
        <v>353</v>
      </c>
      <c r="W166" t="str">
        <f>IF(LEFT(V166,1)="","",IF(ISNUMBER(SEARCH(LEFT(V166,1),"ABCDG")),"Y",IF(ISNUMBER(SEARCH(LEFT(V166,1),"EFH")),"T",IF(LEFT(V166,1)="I","cek",""))))</f>
        <v>Y</v>
      </c>
      <c r="X166" s="3" t="s">
        <v>348</v>
      </c>
      <c r="Y166" s="3"/>
      <c r="Z166" s="3" t="s">
        <v>478</v>
      </c>
    </row>
    <row r="167" spans="1:26" x14ac:dyDescent="0.3">
      <c r="A167">
        <v>8750</v>
      </c>
      <c r="B167" t="s">
        <v>130</v>
      </c>
      <c r="C167" t="s">
        <v>469</v>
      </c>
      <c r="D167" t="s">
        <v>131</v>
      </c>
      <c r="E167">
        <v>-7.7607280000000003</v>
      </c>
      <c r="F167">
        <v>110.184742</v>
      </c>
      <c r="G167" t="s">
        <v>132</v>
      </c>
      <c r="H167" t="s">
        <v>40</v>
      </c>
      <c r="I167">
        <v>-7.7579419999999999</v>
      </c>
      <c r="J167">
        <v>110.18624800000001</v>
      </c>
      <c r="K167">
        <v>4.3739999999999997</v>
      </c>
      <c r="L167">
        <v>53.478000000000002</v>
      </c>
      <c r="M167">
        <v>12.2272</v>
      </c>
      <c r="N167" t="s">
        <v>31</v>
      </c>
      <c r="O167" t="s">
        <v>346</v>
      </c>
      <c r="P167">
        <v>53.478000000000002</v>
      </c>
      <c r="Q167">
        <v>0</v>
      </c>
      <c r="R167" s="2" t="s">
        <v>133</v>
      </c>
      <c r="S167" s="2" t="s">
        <v>134</v>
      </c>
      <c r="T167" s="2" t="s">
        <v>538</v>
      </c>
      <c r="U167" s="3" t="s">
        <v>114</v>
      </c>
      <c r="V167" s="3" t="s">
        <v>115</v>
      </c>
      <c r="W167" t="str">
        <f t="shared" si="2"/>
        <v>Y</v>
      </c>
      <c r="X167" s="3" t="s">
        <v>348</v>
      </c>
      <c r="Y167" s="3"/>
      <c r="Z167" s="3" t="s">
        <v>478</v>
      </c>
    </row>
    <row r="168" spans="1:26" x14ac:dyDescent="0.3">
      <c r="A168">
        <v>9038</v>
      </c>
      <c r="B168" t="s">
        <v>539</v>
      </c>
      <c r="C168" t="s">
        <v>469</v>
      </c>
      <c r="E168">
        <v>-7.8167840000000002</v>
      </c>
      <c r="F168">
        <v>110.17375</v>
      </c>
      <c r="G168" t="s">
        <v>485</v>
      </c>
      <c r="H168" t="s">
        <v>40</v>
      </c>
      <c r="I168">
        <v>-7.8146060000000004</v>
      </c>
      <c r="J168">
        <v>110.17103899999999</v>
      </c>
      <c r="K168">
        <v>4.798</v>
      </c>
      <c r="L168">
        <v>32.311999999999998</v>
      </c>
      <c r="M168">
        <v>6.7343000000000002</v>
      </c>
      <c r="N168" t="s">
        <v>31</v>
      </c>
      <c r="O168" t="s">
        <v>358</v>
      </c>
      <c r="P168">
        <v>12.784000000000001</v>
      </c>
      <c r="Q168">
        <v>19.527999999999999</v>
      </c>
      <c r="R168" s="2" t="s">
        <v>540</v>
      </c>
      <c r="S168" s="2" t="s">
        <v>487</v>
      </c>
      <c r="T168" s="2" t="s">
        <v>541</v>
      </c>
      <c r="U168" s="3" t="s">
        <v>114</v>
      </c>
      <c r="V168" s="3" t="s">
        <v>353</v>
      </c>
      <c r="W168" t="str">
        <f>IF(LEFT(V168,1)="","",IF(ISNUMBER(SEARCH(LEFT(V168,1),"ABCDG")),"Y",IF(ISNUMBER(SEARCH(LEFT(V168,1),"EFH")),"T",IF(LEFT(V168,1)="I","cek",""))))</f>
        <v>Y</v>
      </c>
      <c r="X168" s="3" t="s">
        <v>348</v>
      </c>
      <c r="Y168" s="3"/>
      <c r="Z168" s="3" t="s">
        <v>478</v>
      </c>
    </row>
    <row r="169" spans="1:26" x14ac:dyDescent="0.3">
      <c r="A169">
        <v>9273</v>
      </c>
      <c r="B169" t="s">
        <v>542</v>
      </c>
      <c r="C169" t="s">
        <v>469</v>
      </c>
      <c r="E169">
        <v>-7.8563460000000003</v>
      </c>
      <c r="F169">
        <v>110.06210799999999</v>
      </c>
      <c r="G169" t="s">
        <v>505</v>
      </c>
      <c r="H169" t="s">
        <v>40</v>
      </c>
      <c r="I169">
        <v>-7.8592560000000002</v>
      </c>
      <c r="J169">
        <v>110.061865</v>
      </c>
      <c r="K169">
        <v>4.0359999999999996</v>
      </c>
      <c r="L169">
        <v>65.546000000000006</v>
      </c>
      <c r="M169">
        <v>16.241299999999999</v>
      </c>
      <c r="N169" t="s">
        <v>31</v>
      </c>
      <c r="O169" t="s">
        <v>358</v>
      </c>
      <c r="P169">
        <v>8.0719999999999992</v>
      </c>
      <c r="Q169">
        <v>57.473999999999997</v>
      </c>
      <c r="R169" s="4" t="s">
        <v>543</v>
      </c>
      <c r="S169" s="2" t="s">
        <v>507</v>
      </c>
      <c r="T169" s="2" t="s">
        <v>544</v>
      </c>
      <c r="U169" s="3" t="s">
        <v>152</v>
      </c>
      <c r="V169" s="3" t="s">
        <v>353</v>
      </c>
      <c r="W169" t="str">
        <f>IF(LEFT(V169,1)="","",IF(ISNUMBER(SEARCH(LEFT(V169,1),"ABCDG")),"Y",IF(ISNUMBER(SEARCH(LEFT(V169,1),"EFH")),"T",IF(LEFT(V169,1)="I","cek",""))))</f>
        <v>Y</v>
      </c>
      <c r="X169" s="3" t="s">
        <v>348</v>
      </c>
      <c r="Y169" s="3"/>
      <c r="Z169" s="3" t="s">
        <v>478</v>
      </c>
    </row>
    <row r="170" spans="1:26" x14ac:dyDescent="0.3">
      <c r="A170">
        <v>9358</v>
      </c>
      <c r="B170" t="s">
        <v>545</v>
      </c>
      <c r="C170" t="s">
        <v>469</v>
      </c>
      <c r="E170">
        <v>-7.8222880000000004</v>
      </c>
      <c r="F170">
        <v>110.214553</v>
      </c>
      <c r="G170" t="s">
        <v>480</v>
      </c>
      <c r="H170" t="s">
        <v>40</v>
      </c>
      <c r="I170">
        <v>-7.8239679999999998</v>
      </c>
      <c r="J170">
        <v>110.211718</v>
      </c>
      <c r="K170">
        <v>4.5449999999999999</v>
      </c>
      <c r="L170">
        <v>32.305999999999997</v>
      </c>
      <c r="M170">
        <v>7.1078999999999999</v>
      </c>
      <c r="N170" t="s">
        <v>31</v>
      </c>
      <c r="O170" t="s">
        <v>358</v>
      </c>
      <c r="P170">
        <v>25.574000000000002</v>
      </c>
      <c r="Q170">
        <v>6.7320000000000002</v>
      </c>
      <c r="R170" s="2" t="s">
        <v>546</v>
      </c>
      <c r="S170" s="2" t="s">
        <v>482</v>
      </c>
      <c r="T170" s="2" t="s">
        <v>547</v>
      </c>
      <c r="U170" s="3" t="s">
        <v>152</v>
      </c>
      <c r="V170" s="3" t="s">
        <v>353</v>
      </c>
      <c r="W170" t="str">
        <f>IF(LEFT(V170,1)="","",IF(ISNUMBER(SEARCH(LEFT(V170,1),"ABCDG")),"Y",IF(ISNUMBER(SEARCH(LEFT(V170,1),"EFH")),"T",IF(LEFT(V170,1)="I","cek",""))))</f>
        <v>Y</v>
      </c>
      <c r="X170" s="3" t="s">
        <v>348</v>
      </c>
      <c r="Y170" s="3"/>
      <c r="Z170" s="3" t="s">
        <v>478</v>
      </c>
    </row>
    <row r="171" spans="1:26" x14ac:dyDescent="0.3">
      <c r="A171">
        <v>9702</v>
      </c>
      <c r="B171" t="s">
        <v>146</v>
      </c>
      <c r="C171" t="s">
        <v>469</v>
      </c>
      <c r="D171" t="s">
        <v>147</v>
      </c>
      <c r="E171">
        <v>-7.8211810000000002</v>
      </c>
      <c r="F171">
        <v>110.11206799999999</v>
      </c>
      <c r="G171" t="s">
        <v>148</v>
      </c>
      <c r="H171" t="s">
        <v>40</v>
      </c>
      <c r="I171">
        <v>-7.819909</v>
      </c>
      <c r="J171">
        <v>110.112674</v>
      </c>
      <c r="K171">
        <v>1.9470000000000001</v>
      </c>
      <c r="L171">
        <v>33.704000000000001</v>
      </c>
      <c r="M171">
        <v>17.314</v>
      </c>
      <c r="N171" t="s">
        <v>31</v>
      </c>
      <c r="O171" t="s">
        <v>346</v>
      </c>
      <c r="P171">
        <v>33.704000000000001</v>
      </c>
      <c r="Q171">
        <v>0</v>
      </c>
      <c r="R171" s="2" t="s">
        <v>149</v>
      </c>
      <c r="S171" s="2" t="s">
        <v>150</v>
      </c>
      <c r="T171" s="2" t="s">
        <v>548</v>
      </c>
      <c r="U171" s="3" t="s">
        <v>152</v>
      </c>
      <c r="V171" s="3"/>
      <c r="W171" t="str">
        <f t="shared" si="2"/>
        <v>T</v>
      </c>
      <c r="X171" s="3" t="s">
        <v>348</v>
      </c>
      <c r="Y171" s="3"/>
      <c r="Z171" s="3" t="s">
        <v>478</v>
      </c>
    </row>
    <row r="172" spans="1:26" x14ac:dyDescent="0.3">
      <c r="A172">
        <v>9956</v>
      </c>
      <c r="B172" t="s">
        <v>549</v>
      </c>
      <c r="C172" t="s">
        <v>469</v>
      </c>
      <c r="E172">
        <v>-7.8268209999999998</v>
      </c>
      <c r="F172">
        <v>110.21998600000001</v>
      </c>
      <c r="G172" t="s">
        <v>550</v>
      </c>
      <c r="H172" t="s">
        <v>55</v>
      </c>
      <c r="I172">
        <v>-7.8280830000000003</v>
      </c>
      <c r="J172">
        <v>110.222222</v>
      </c>
      <c r="K172">
        <v>3.54</v>
      </c>
      <c r="L172">
        <v>36.753</v>
      </c>
      <c r="M172">
        <v>10.381399999999999</v>
      </c>
      <c r="N172" t="s">
        <v>31</v>
      </c>
      <c r="O172" t="s">
        <v>358</v>
      </c>
      <c r="P172">
        <v>23.654</v>
      </c>
      <c r="Q172">
        <v>13.099</v>
      </c>
      <c r="R172" s="2" t="s">
        <v>551</v>
      </c>
      <c r="S172" s="2" t="s">
        <v>552</v>
      </c>
      <c r="T172" s="2" t="s">
        <v>553</v>
      </c>
      <c r="U172" s="3" t="s">
        <v>353</v>
      </c>
      <c r="W172" t="str">
        <f>IF(LEFT(U172,1)="","",IF(ISNUMBER(SEARCH(LEFT(U172,1),"ABCDG")),"Y",IF(ISNUMBER(SEARCH(LEFT(U172,1),"EFH")),"T",IF(LEFT(U172,1)="I","cek",""))))</f>
        <v>Y</v>
      </c>
      <c r="X172" s="3" t="s">
        <v>348</v>
      </c>
      <c r="Y172" s="3"/>
      <c r="Z172" s="3" t="s">
        <v>478</v>
      </c>
    </row>
    <row r="173" spans="1:26" x14ac:dyDescent="0.3">
      <c r="A173">
        <v>10107</v>
      </c>
      <c r="B173" t="s">
        <v>554</v>
      </c>
      <c r="C173" t="s">
        <v>469</v>
      </c>
      <c r="E173">
        <v>-7.8592589999999998</v>
      </c>
      <c r="F173">
        <v>110.156432</v>
      </c>
      <c r="G173" t="s">
        <v>555</v>
      </c>
      <c r="H173" t="s">
        <v>30</v>
      </c>
      <c r="I173">
        <v>-7.8603509999999996</v>
      </c>
      <c r="J173">
        <v>110.15655</v>
      </c>
      <c r="K173">
        <v>1.5169999999999999</v>
      </c>
      <c r="L173">
        <v>31.305</v>
      </c>
      <c r="M173">
        <v>20.6327</v>
      </c>
      <c r="N173" t="s">
        <v>31</v>
      </c>
      <c r="O173" t="s">
        <v>358</v>
      </c>
      <c r="P173">
        <v>6.1520000000000001</v>
      </c>
      <c r="Q173">
        <v>25.152999999999999</v>
      </c>
      <c r="R173" s="2" t="s">
        <v>556</v>
      </c>
      <c r="S173" s="2" t="s">
        <v>557</v>
      </c>
      <c r="T173" s="2" t="s">
        <v>558</v>
      </c>
      <c r="U173" s="3" t="s">
        <v>353</v>
      </c>
      <c r="W173" t="str">
        <f>IF(LEFT(U173,1)="","",IF(ISNUMBER(SEARCH(LEFT(U173,1),"ABCDG")),"Y",IF(ISNUMBER(SEARCH(LEFT(U173,1),"EFH")),"T",IF(LEFT(U173,1)="I","cek",""))))</f>
        <v>Y</v>
      </c>
      <c r="X173" s="3" t="s">
        <v>348</v>
      </c>
      <c r="Y173" s="3"/>
      <c r="Z173" s="3" t="s">
        <v>478</v>
      </c>
    </row>
    <row r="174" spans="1:26" x14ac:dyDescent="0.3">
      <c r="A174">
        <v>10281</v>
      </c>
      <c r="B174" t="s">
        <v>559</v>
      </c>
      <c r="C174" t="s">
        <v>469</v>
      </c>
      <c r="E174">
        <v>-7.8212770000000003</v>
      </c>
      <c r="F174">
        <v>110.15922999999999</v>
      </c>
      <c r="G174" t="s">
        <v>514</v>
      </c>
      <c r="H174" t="s">
        <v>40</v>
      </c>
      <c r="I174">
        <v>-7.8244319999999998</v>
      </c>
      <c r="J174">
        <v>110.159622</v>
      </c>
      <c r="K174">
        <v>4.3929999999999998</v>
      </c>
      <c r="L174">
        <v>42.603000000000002</v>
      </c>
      <c r="M174">
        <v>9.6976999999999993</v>
      </c>
      <c r="N174" t="s">
        <v>31</v>
      </c>
      <c r="O174" t="s">
        <v>358</v>
      </c>
      <c r="P174">
        <v>12.176</v>
      </c>
      <c r="Q174">
        <v>30.427</v>
      </c>
      <c r="R174" s="2" t="s">
        <v>560</v>
      </c>
      <c r="S174" s="2" t="s">
        <v>516</v>
      </c>
      <c r="T174" s="2" t="s">
        <v>561</v>
      </c>
      <c r="U174" s="3" t="s">
        <v>353</v>
      </c>
      <c r="W174" t="str">
        <f>IF(LEFT(U174,1)="","",IF(ISNUMBER(SEARCH(LEFT(U174,1),"ABCDG")),"Y",IF(ISNUMBER(SEARCH(LEFT(U174,1),"EFH")),"T",IF(LEFT(U174,1)="I","cek",""))))</f>
        <v>Y</v>
      </c>
      <c r="X174" s="3" t="s">
        <v>348</v>
      </c>
      <c r="Y174" s="3"/>
      <c r="Z174" s="3" t="s">
        <v>478</v>
      </c>
    </row>
    <row r="175" spans="1:26" x14ac:dyDescent="0.3">
      <c r="A175">
        <v>10405</v>
      </c>
      <c r="B175" t="s">
        <v>562</v>
      </c>
      <c r="C175" t="s">
        <v>469</v>
      </c>
      <c r="E175">
        <v>-7.8167799999999996</v>
      </c>
      <c r="F175">
        <v>110.171936</v>
      </c>
      <c r="G175" t="s">
        <v>485</v>
      </c>
      <c r="H175" t="s">
        <v>40</v>
      </c>
      <c r="I175">
        <v>-7.8146060000000004</v>
      </c>
      <c r="J175">
        <v>110.17103899999999</v>
      </c>
      <c r="K175">
        <v>3.25</v>
      </c>
      <c r="L175">
        <v>35.356999999999999</v>
      </c>
      <c r="M175">
        <v>10.8803</v>
      </c>
      <c r="N175" t="s">
        <v>31</v>
      </c>
      <c r="O175" t="s">
        <v>358</v>
      </c>
      <c r="P175">
        <v>10.454000000000001</v>
      </c>
      <c r="Q175">
        <v>24.902999999999999</v>
      </c>
      <c r="R175" s="2" t="s">
        <v>563</v>
      </c>
      <c r="S175" s="2" t="s">
        <v>487</v>
      </c>
      <c r="T175" s="2" t="s">
        <v>564</v>
      </c>
      <c r="U175" s="3" t="s">
        <v>353</v>
      </c>
      <c r="W175" t="str">
        <f>IF(LEFT(U175,1)="","",IF(ISNUMBER(SEARCH(LEFT(U175,1),"ABCDG")),"Y",IF(ISNUMBER(SEARCH(LEFT(U175,1),"EFH")),"T",IF(LEFT(U175,1)="I","cek",""))))</f>
        <v>Y</v>
      </c>
      <c r="X175" s="3" t="s">
        <v>348</v>
      </c>
      <c r="Y175" s="3"/>
      <c r="Z175" s="3" t="s">
        <v>478</v>
      </c>
    </row>
    <row r="176" spans="1:26" x14ac:dyDescent="0.3">
      <c r="A176">
        <v>10530</v>
      </c>
      <c r="B176" t="s">
        <v>565</v>
      </c>
      <c r="C176" t="s">
        <v>469</v>
      </c>
      <c r="E176">
        <v>-7.8268139999999997</v>
      </c>
      <c r="F176">
        <v>110.216358</v>
      </c>
      <c r="G176" t="s">
        <v>474</v>
      </c>
      <c r="H176" t="s">
        <v>40</v>
      </c>
      <c r="I176">
        <v>-7.8276050000000001</v>
      </c>
      <c r="J176">
        <v>110.213348</v>
      </c>
      <c r="K176">
        <v>4.29</v>
      </c>
      <c r="L176">
        <v>45.777000000000001</v>
      </c>
      <c r="M176">
        <v>10.6706</v>
      </c>
      <c r="N176" t="s">
        <v>31</v>
      </c>
      <c r="O176" t="s">
        <v>358</v>
      </c>
      <c r="P176">
        <v>6.5339999999999998</v>
      </c>
      <c r="Q176">
        <v>39.244</v>
      </c>
      <c r="R176" s="2" t="s">
        <v>566</v>
      </c>
      <c r="S176" s="2" t="s">
        <v>476</v>
      </c>
      <c r="T176" s="2" t="s">
        <v>567</v>
      </c>
      <c r="U176" s="3" t="s">
        <v>353</v>
      </c>
      <c r="W176" t="str">
        <f>IF(LEFT(U176,1)="","",IF(ISNUMBER(SEARCH(LEFT(U176,1),"ABCDG")),"Y",IF(ISNUMBER(SEARCH(LEFT(U176,1),"EFH")),"T",IF(LEFT(U176,1)="I","cek",""))))</f>
        <v>Y</v>
      </c>
      <c r="X176" s="3" t="s">
        <v>348</v>
      </c>
      <c r="Y176" s="3"/>
      <c r="Z176" s="3" t="s">
        <v>478</v>
      </c>
    </row>
    <row r="177" spans="1:26" x14ac:dyDescent="0.3">
      <c r="A177">
        <v>10545</v>
      </c>
      <c r="B177" t="s">
        <v>162</v>
      </c>
      <c r="C177" t="s">
        <v>469</v>
      </c>
      <c r="D177" t="s">
        <v>163</v>
      </c>
      <c r="E177">
        <v>-7.8031740000000003</v>
      </c>
      <c r="F177">
        <v>110.152011</v>
      </c>
      <c r="G177" t="s">
        <v>164</v>
      </c>
      <c r="H177" t="s">
        <v>40</v>
      </c>
      <c r="I177">
        <v>-7.8054230000000002</v>
      </c>
      <c r="J177">
        <v>110.150704</v>
      </c>
      <c r="K177">
        <v>3.5920000000000001</v>
      </c>
      <c r="L177">
        <v>39.106999999999999</v>
      </c>
      <c r="M177">
        <v>10.887600000000001</v>
      </c>
      <c r="N177" t="s">
        <v>31</v>
      </c>
      <c r="O177" t="s">
        <v>346</v>
      </c>
      <c r="P177">
        <v>39.106999999999999</v>
      </c>
      <c r="Q177">
        <v>0</v>
      </c>
      <c r="R177" s="2" t="s">
        <v>165</v>
      </c>
      <c r="S177" s="2" t="s">
        <v>166</v>
      </c>
      <c r="T177" s="2" t="s">
        <v>568</v>
      </c>
      <c r="U177" s="3" t="s">
        <v>115</v>
      </c>
      <c r="V177" s="3" t="s">
        <v>152</v>
      </c>
      <c r="W177" t="str">
        <f t="shared" si="2"/>
        <v>T</v>
      </c>
      <c r="X177" s="3" t="s">
        <v>348</v>
      </c>
      <c r="Y177" s="3"/>
      <c r="Z177" s="3" t="s">
        <v>478</v>
      </c>
    </row>
    <row r="178" spans="1:26" x14ac:dyDescent="0.3">
      <c r="A178">
        <v>10701</v>
      </c>
      <c r="B178" t="s">
        <v>569</v>
      </c>
      <c r="C178" t="s">
        <v>469</v>
      </c>
      <c r="D178" t="s">
        <v>570</v>
      </c>
      <c r="E178">
        <v>-7.8575650000000001</v>
      </c>
      <c r="F178">
        <v>110.215394</v>
      </c>
      <c r="G178" t="s">
        <v>571</v>
      </c>
      <c r="H178" t="s">
        <v>30</v>
      </c>
      <c r="I178">
        <v>-7.8611120000000003</v>
      </c>
      <c r="J178">
        <v>110.21535900000001</v>
      </c>
      <c r="K178">
        <v>4.9029999999999996</v>
      </c>
      <c r="L178">
        <v>30.64</v>
      </c>
      <c r="M178">
        <v>6.2488999999999999</v>
      </c>
      <c r="N178" t="s">
        <v>31</v>
      </c>
      <c r="O178" t="s">
        <v>470</v>
      </c>
      <c r="R178" s="2" t="s">
        <v>572</v>
      </c>
      <c r="S178" s="2" t="s">
        <v>573</v>
      </c>
      <c r="T178" s="2" t="s">
        <v>574</v>
      </c>
      <c r="U178" s="3" t="s">
        <v>152</v>
      </c>
      <c r="V178" s="3"/>
      <c r="W178" t="str">
        <f t="shared" si="2"/>
        <v>T</v>
      </c>
      <c r="X178" s="3" t="s">
        <v>50</v>
      </c>
      <c r="Y178" s="3"/>
      <c r="Z178" s="3" t="s">
        <v>478</v>
      </c>
    </row>
    <row r="179" spans="1:26" x14ac:dyDescent="0.3">
      <c r="A179">
        <v>10745</v>
      </c>
      <c r="B179" t="s">
        <v>575</v>
      </c>
      <c r="C179" t="s">
        <v>469</v>
      </c>
      <c r="E179">
        <v>-7.822184</v>
      </c>
      <c r="F179">
        <v>110.160135</v>
      </c>
      <c r="G179" t="s">
        <v>514</v>
      </c>
      <c r="H179" t="s">
        <v>40</v>
      </c>
      <c r="I179">
        <v>-7.8244319999999998</v>
      </c>
      <c r="J179">
        <v>110.159622</v>
      </c>
      <c r="K179">
        <v>3.1859999999999999</v>
      </c>
      <c r="L179">
        <v>44.826999999999998</v>
      </c>
      <c r="M179">
        <v>14.068</v>
      </c>
      <c r="N179" t="s">
        <v>31</v>
      </c>
      <c r="O179" t="s">
        <v>358</v>
      </c>
      <c r="P179">
        <v>11.602</v>
      </c>
      <c r="Q179">
        <v>33.225000000000001</v>
      </c>
      <c r="R179" s="2" t="s">
        <v>576</v>
      </c>
      <c r="S179" s="2" t="s">
        <v>516</v>
      </c>
      <c r="T179" s="2" t="s">
        <v>577</v>
      </c>
      <c r="U179" s="3" t="s">
        <v>353</v>
      </c>
      <c r="W179" t="str">
        <f>IF(LEFT(U179,1)="","",IF(ISNUMBER(SEARCH(LEFT(U179,1),"ABCDG")),"Y",IF(ISNUMBER(SEARCH(LEFT(U179,1),"EFH")),"T",IF(LEFT(U179,1)="I","cek",""))))</f>
        <v>Y</v>
      </c>
      <c r="X179" s="3" t="s">
        <v>348</v>
      </c>
      <c r="Y179" s="3"/>
      <c r="Z179" s="3" t="s">
        <v>478</v>
      </c>
    </row>
    <row r="180" spans="1:26" x14ac:dyDescent="0.3">
      <c r="A180">
        <v>11219</v>
      </c>
      <c r="B180" t="s">
        <v>169</v>
      </c>
      <c r="C180" t="s">
        <v>469</v>
      </c>
      <c r="D180" t="s">
        <v>170</v>
      </c>
      <c r="E180">
        <v>-7.9127650000000003</v>
      </c>
      <c r="F180">
        <v>110.229805</v>
      </c>
      <c r="G180" t="s">
        <v>171</v>
      </c>
      <c r="H180" t="s">
        <v>40</v>
      </c>
      <c r="I180">
        <v>-7.9104150000000004</v>
      </c>
      <c r="J180">
        <v>110.22888399999999</v>
      </c>
      <c r="K180">
        <v>3.4860000000000002</v>
      </c>
      <c r="L180">
        <v>42.945</v>
      </c>
      <c r="M180">
        <v>12.319100000000001</v>
      </c>
      <c r="N180" t="s">
        <v>31</v>
      </c>
      <c r="O180" t="s">
        <v>351</v>
      </c>
      <c r="P180">
        <v>31.533000000000001</v>
      </c>
      <c r="Q180">
        <v>11.412000000000001</v>
      </c>
      <c r="R180" s="2" t="s">
        <v>172</v>
      </c>
      <c r="S180" s="2" t="s">
        <v>173</v>
      </c>
      <c r="T180" s="2" t="s">
        <v>578</v>
      </c>
      <c r="U180" s="3" t="s">
        <v>353</v>
      </c>
      <c r="W180" t="e">
        <f>IF(LEFT(#REF!,1)="","",IF(ISNUMBER(SEARCH(LEFT(#REF!,1),"ABCDG")),"Y",IF(ISNUMBER(SEARCH(LEFT(#REF!,1),"EFH")),"T",IF(LEFT(#REF!,1)="I","cek",""))))</f>
        <v>#REF!</v>
      </c>
      <c r="X180" s="3" t="s">
        <v>50</v>
      </c>
      <c r="Y180" s="3"/>
      <c r="Z180" s="3" t="s">
        <v>478</v>
      </c>
    </row>
    <row r="181" spans="1:26" x14ac:dyDescent="0.3">
      <c r="A181">
        <v>11668</v>
      </c>
      <c r="B181" t="s">
        <v>579</v>
      </c>
      <c r="C181" t="s">
        <v>469</v>
      </c>
      <c r="E181">
        <v>-7.8158789999999998</v>
      </c>
      <c r="F181">
        <v>110.17375199999999</v>
      </c>
      <c r="G181" t="s">
        <v>485</v>
      </c>
      <c r="H181" t="s">
        <v>40</v>
      </c>
      <c r="I181">
        <v>-7.8146060000000004</v>
      </c>
      <c r="J181">
        <v>110.17103899999999</v>
      </c>
      <c r="K181">
        <v>4.133</v>
      </c>
      <c r="L181">
        <v>33.557000000000002</v>
      </c>
      <c r="M181">
        <v>8.1201000000000008</v>
      </c>
      <c r="N181" t="s">
        <v>31</v>
      </c>
      <c r="O181" t="s">
        <v>358</v>
      </c>
      <c r="P181">
        <v>14.039</v>
      </c>
      <c r="Q181">
        <v>19.518000000000001</v>
      </c>
      <c r="R181" s="2" t="s">
        <v>580</v>
      </c>
      <c r="S181" s="2" t="s">
        <v>487</v>
      </c>
      <c r="T181" s="2" t="s">
        <v>581</v>
      </c>
      <c r="U181" s="3" t="s">
        <v>353</v>
      </c>
      <c r="W181" t="str">
        <f>IF(LEFT(U181,1)="","",IF(ISNUMBER(SEARCH(LEFT(U181,1),"ABCDG")),"Y",IF(ISNUMBER(SEARCH(LEFT(U181,1),"EFH")),"T",IF(LEFT(U181,1)="I","cek",""))))</f>
        <v>Y</v>
      </c>
      <c r="X181" s="3" t="s">
        <v>348</v>
      </c>
      <c r="Y181" s="3"/>
      <c r="Z181" s="3" t="s">
        <v>478</v>
      </c>
    </row>
    <row r="182" spans="1:26" x14ac:dyDescent="0.3">
      <c r="A182">
        <v>11746</v>
      </c>
      <c r="B182" t="s">
        <v>176</v>
      </c>
      <c r="C182" t="s">
        <v>469</v>
      </c>
      <c r="D182" t="s">
        <v>177</v>
      </c>
      <c r="E182">
        <v>-7.8139409999999998</v>
      </c>
      <c r="F182">
        <v>110.11027</v>
      </c>
      <c r="G182" t="s">
        <v>178</v>
      </c>
      <c r="H182" t="s">
        <v>40</v>
      </c>
      <c r="I182">
        <v>-7.8121790000000004</v>
      </c>
      <c r="J182">
        <v>110.11325600000001</v>
      </c>
      <c r="K182">
        <v>4.7830000000000004</v>
      </c>
      <c r="L182">
        <v>35.868000000000002</v>
      </c>
      <c r="M182">
        <v>7.4991000000000003</v>
      </c>
      <c r="N182" t="s">
        <v>31</v>
      </c>
      <c r="O182" t="s">
        <v>346</v>
      </c>
      <c r="P182">
        <v>35.868000000000002</v>
      </c>
      <c r="Q182">
        <v>0</v>
      </c>
      <c r="R182" s="2" t="s">
        <v>179</v>
      </c>
      <c r="S182" s="2" t="s">
        <v>180</v>
      </c>
      <c r="T182" s="2" t="s">
        <v>582</v>
      </c>
      <c r="U182" s="3" t="s">
        <v>35</v>
      </c>
      <c r="V182" s="3"/>
      <c r="W182" t="str">
        <f t="shared" si="2"/>
        <v>Y</v>
      </c>
      <c r="X182" s="3" t="s">
        <v>348</v>
      </c>
      <c r="Y182" s="3"/>
      <c r="Z182" s="3" t="s">
        <v>478</v>
      </c>
    </row>
    <row r="183" spans="1:26" x14ac:dyDescent="0.3">
      <c r="A183">
        <v>11948</v>
      </c>
      <c r="B183" t="s">
        <v>583</v>
      </c>
      <c r="C183" t="s">
        <v>469</v>
      </c>
      <c r="E183">
        <v>-7.8221869999999996</v>
      </c>
      <c r="F183">
        <v>110.16194900000001</v>
      </c>
      <c r="G183" t="s">
        <v>514</v>
      </c>
      <c r="H183" t="s">
        <v>40</v>
      </c>
      <c r="I183">
        <v>-7.8244319999999998</v>
      </c>
      <c r="J183">
        <v>110.159622</v>
      </c>
      <c r="K183">
        <v>4.4610000000000003</v>
      </c>
      <c r="L183">
        <v>47.759</v>
      </c>
      <c r="M183">
        <v>10.7049</v>
      </c>
      <c r="N183" t="s">
        <v>31</v>
      </c>
      <c r="O183" t="s">
        <v>358</v>
      </c>
      <c r="P183">
        <v>6.8810000000000002</v>
      </c>
      <c r="Q183">
        <v>40.878</v>
      </c>
      <c r="R183" s="2" t="s">
        <v>584</v>
      </c>
      <c r="S183" s="2" t="s">
        <v>516</v>
      </c>
      <c r="T183" s="2" t="s">
        <v>585</v>
      </c>
      <c r="U183" s="3" t="s">
        <v>353</v>
      </c>
      <c r="W183" t="str">
        <f>IF(LEFT(U183,1)="","",IF(ISNUMBER(SEARCH(LEFT(U183,1),"ABCDG")),"Y",IF(ISNUMBER(SEARCH(LEFT(U183,1),"EFH")),"T",IF(LEFT(U183,1)="I","cek",""))))</f>
        <v>Y</v>
      </c>
      <c r="X183" s="3" t="s">
        <v>348</v>
      </c>
      <c r="Y183" s="3"/>
      <c r="Z183" s="3" t="s">
        <v>478</v>
      </c>
    </row>
    <row r="184" spans="1:26" x14ac:dyDescent="0.3">
      <c r="A184">
        <v>12021</v>
      </c>
      <c r="B184" t="s">
        <v>586</v>
      </c>
      <c r="C184" t="s">
        <v>469</v>
      </c>
      <c r="E184">
        <v>-7.8268190000000004</v>
      </c>
      <c r="F184">
        <v>110.21907899999999</v>
      </c>
      <c r="G184" t="s">
        <v>550</v>
      </c>
      <c r="H184" t="s">
        <v>55</v>
      </c>
      <c r="I184">
        <v>-7.8280830000000003</v>
      </c>
      <c r="J184">
        <v>110.222222</v>
      </c>
      <c r="K184">
        <v>4.67</v>
      </c>
      <c r="L184">
        <v>36.03</v>
      </c>
      <c r="M184">
        <v>7.7157999999999998</v>
      </c>
      <c r="N184" t="s">
        <v>31</v>
      </c>
      <c r="O184" t="s">
        <v>358</v>
      </c>
      <c r="P184">
        <v>24.114000000000001</v>
      </c>
      <c r="Q184">
        <v>11.916</v>
      </c>
      <c r="R184" s="2" t="s">
        <v>587</v>
      </c>
      <c r="S184" s="2" t="s">
        <v>552</v>
      </c>
      <c r="T184" s="2" t="s">
        <v>588</v>
      </c>
      <c r="U184" s="3" t="s">
        <v>353</v>
      </c>
      <c r="W184" t="str">
        <f>IF(LEFT(U184,1)="","",IF(ISNUMBER(SEARCH(LEFT(U184,1),"ABCDG")),"Y",IF(ISNUMBER(SEARCH(LEFT(U184,1),"EFH")),"T",IF(LEFT(U184,1)="I","cek",""))))</f>
        <v>Y</v>
      </c>
      <c r="X184" s="3" t="s">
        <v>348</v>
      </c>
      <c r="Y184" s="3"/>
      <c r="Z184" s="3" t="s">
        <v>478</v>
      </c>
    </row>
    <row r="185" spans="1:26" x14ac:dyDescent="0.3">
      <c r="A185">
        <v>12627</v>
      </c>
      <c r="B185" t="s">
        <v>589</v>
      </c>
      <c r="C185" t="s">
        <v>469</v>
      </c>
      <c r="E185">
        <v>-7.8167819999999999</v>
      </c>
      <c r="F185">
        <v>110.172843</v>
      </c>
      <c r="G185" t="s">
        <v>485</v>
      </c>
      <c r="H185" t="s">
        <v>40</v>
      </c>
      <c r="I185">
        <v>-7.8146060000000004</v>
      </c>
      <c r="J185">
        <v>110.17103899999999</v>
      </c>
      <c r="K185">
        <v>3.9020000000000001</v>
      </c>
      <c r="L185">
        <v>33.581000000000003</v>
      </c>
      <c r="M185">
        <v>8.6052</v>
      </c>
      <c r="N185" t="s">
        <v>31</v>
      </c>
      <c r="O185" t="s">
        <v>358</v>
      </c>
      <c r="P185">
        <v>11.525</v>
      </c>
      <c r="Q185">
        <v>22.056000000000001</v>
      </c>
      <c r="R185" s="2" t="s">
        <v>590</v>
      </c>
      <c r="S185" s="2" t="s">
        <v>487</v>
      </c>
      <c r="T185" s="2" t="s">
        <v>591</v>
      </c>
      <c r="U185" s="3" t="s">
        <v>353</v>
      </c>
      <c r="W185" t="str">
        <f>IF(LEFT(U185,1)="","",IF(ISNUMBER(SEARCH(LEFT(U185,1),"ABCDG")),"Y",IF(ISNUMBER(SEARCH(LEFT(U185,1),"EFH")),"T",IF(LEFT(U185,1)="I","cek",""))))</f>
        <v>Y</v>
      </c>
      <c r="X185" s="3" t="s">
        <v>348</v>
      </c>
      <c r="Y185" s="3"/>
      <c r="Z185" s="3" t="s">
        <v>478</v>
      </c>
    </row>
    <row r="186" spans="1:26" x14ac:dyDescent="0.3">
      <c r="A186">
        <v>12710</v>
      </c>
      <c r="B186" t="s">
        <v>183</v>
      </c>
      <c r="C186" t="s">
        <v>469</v>
      </c>
      <c r="D186" t="s">
        <v>184</v>
      </c>
      <c r="E186">
        <v>-7.7895979999999998</v>
      </c>
      <c r="F186">
        <v>110.147503</v>
      </c>
      <c r="G186" t="s">
        <v>185</v>
      </c>
      <c r="H186" t="s">
        <v>40</v>
      </c>
      <c r="I186">
        <v>-7.7864170000000001</v>
      </c>
      <c r="J186">
        <v>110.147567</v>
      </c>
      <c r="K186">
        <v>4.3959999999999999</v>
      </c>
      <c r="L186">
        <v>30.626000000000001</v>
      </c>
      <c r="M186">
        <v>6.9667000000000003</v>
      </c>
      <c r="N186" t="s">
        <v>31</v>
      </c>
      <c r="O186" t="s">
        <v>346</v>
      </c>
      <c r="P186">
        <v>30.626000000000001</v>
      </c>
      <c r="Q186">
        <v>0</v>
      </c>
      <c r="R186" s="2" t="s">
        <v>186</v>
      </c>
      <c r="S186" s="2" t="s">
        <v>187</v>
      </c>
      <c r="T186" s="2" t="s">
        <v>592</v>
      </c>
      <c r="U186" s="3" t="s">
        <v>152</v>
      </c>
      <c r="V186" s="3"/>
      <c r="W186" t="str">
        <f t="shared" si="2"/>
        <v>T</v>
      </c>
      <c r="X186" s="3" t="s">
        <v>348</v>
      </c>
      <c r="Y186" s="3"/>
      <c r="Z186" s="3" t="s">
        <v>478</v>
      </c>
    </row>
    <row r="187" spans="1:26" x14ac:dyDescent="0.3">
      <c r="A187">
        <v>13026</v>
      </c>
      <c r="B187" t="s">
        <v>593</v>
      </c>
      <c r="C187" t="s">
        <v>469</v>
      </c>
      <c r="E187">
        <v>-7.8176810000000003</v>
      </c>
      <c r="F187">
        <v>110.17012</v>
      </c>
      <c r="G187" t="s">
        <v>485</v>
      </c>
      <c r="H187" t="s">
        <v>40</v>
      </c>
      <c r="I187">
        <v>-7.8146060000000004</v>
      </c>
      <c r="J187">
        <v>110.17103899999999</v>
      </c>
      <c r="K187">
        <v>4.4349999999999996</v>
      </c>
      <c r="L187">
        <v>38.713000000000001</v>
      </c>
      <c r="M187">
        <v>8.7292000000000005</v>
      </c>
      <c r="N187" t="s">
        <v>31</v>
      </c>
      <c r="O187" t="s">
        <v>358</v>
      </c>
      <c r="P187">
        <v>13.098000000000001</v>
      </c>
      <c r="Q187">
        <v>25.614999999999998</v>
      </c>
      <c r="R187" s="2" t="s">
        <v>594</v>
      </c>
      <c r="S187" s="2" t="s">
        <v>487</v>
      </c>
      <c r="T187" s="2" t="s">
        <v>595</v>
      </c>
      <c r="U187" s="3" t="s">
        <v>353</v>
      </c>
      <c r="W187" t="str">
        <f>IF(LEFT(U187,1)="","",IF(ISNUMBER(SEARCH(LEFT(U187,1),"ABCDG")),"Y",IF(ISNUMBER(SEARCH(LEFT(U187,1),"EFH")),"T",IF(LEFT(U187,1)="I","cek",""))))</f>
        <v>Y</v>
      </c>
      <c r="X187" s="3" t="s">
        <v>348</v>
      </c>
      <c r="Y187" s="3"/>
      <c r="Z187" s="3" t="s">
        <v>478</v>
      </c>
    </row>
    <row r="188" spans="1:26" x14ac:dyDescent="0.3">
      <c r="A188">
        <v>13056</v>
      </c>
      <c r="B188" t="s">
        <v>596</v>
      </c>
      <c r="C188" t="s">
        <v>469</v>
      </c>
      <c r="E188">
        <v>-7.947025</v>
      </c>
      <c r="F188">
        <v>110.172584</v>
      </c>
      <c r="G188" t="s">
        <v>597</v>
      </c>
      <c r="H188" t="s">
        <v>30</v>
      </c>
      <c r="I188">
        <v>-7.9449639999999997</v>
      </c>
      <c r="J188">
        <v>110.17005899999999</v>
      </c>
      <c r="K188">
        <v>4.4969999999999999</v>
      </c>
      <c r="L188">
        <v>62.674999999999997</v>
      </c>
      <c r="M188">
        <v>13.937200000000001</v>
      </c>
      <c r="N188" t="s">
        <v>31</v>
      </c>
      <c r="O188" t="s">
        <v>358</v>
      </c>
      <c r="P188">
        <v>5.867</v>
      </c>
      <c r="Q188">
        <v>56.808</v>
      </c>
      <c r="R188" s="2" t="s">
        <v>598</v>
      </c>
      <c r="S188" s="2" t="s">
        <v>599</v>
      </c>
      <c r="T188" s="2" t="s">
        <v>600</v>
      </c>
      <c r="U188" s="3" t="s">
        <v>353</v>
      </c>
      <c r="W188" t="str">
        <f>IF(LEFT(U188,1)="","",IF(ISNUMBER(SEARCH(LEFT(U188,1),"ABCDG")),"Y",IF(ISNUMBER(SEARCH(LEFT(U188,1),"EFH")),"T",IF(LEFT(U188,1)="I","cek",""))))</f>
        <v>Y</v>
      </c>
      <c r="X188" s="3" t="s">
        <v>348</v>
      </c>
      <c r="Y188" s="3"/>
      <c r="Z188" s="3" t="s">
        <v>478</v>
      </c>
    </row>
    <row r="189" spans="1:26" x14ac:dyDescent="0.3">
      <c r="A189">
        <v>13140</v>
      </c>
      <c r="B189" t="s">
        <v>601</v>
      </c>
      <c r="C189" t="s">
        <v>469</v>
      </c>
      <c r="E189">
        <v>-7.9235790000000001</v>
      </c>
      <c r="F189">
        <v>110.20891899999999</v>
      </c>
      <c r="G189" t="s">
        <v>602</v>
      </c>
      <c r="H189" t="s">
        <v>40</v>
      </c>
      <c r="I189">
        <v>-7.9239439999999997</v>
      </c>
      <c r="J189">
        <v>110.210145</v>
      </c>
      <c r="K189">
        <v>1.7629999999999999</v>
      </c>
      <c r="L189">
        <v>31.792999999999999</v>
      </c>
      <c r="M189">
        <v>18.030899999999999</v>
      </c>
      <c r="N189" t="s">
        <v>31</v>
      </c>
      <c r="O189" t="s">
        <v>358</v>
      </c>
      <c r="P189">
        <v>26.687999999999999</v>
      </c>
      <c r="Q189">
        <v>5.1050000000000004</v>
      </c>
      <c r="R189" s="2" t="s">
        <v>603</v>
      </c>
      <c r="S189" s="2" t="s">
        <v>604</v>
      </c>
      <c r="T189" s="2" t="s">
        <v>605</v>
      </c>
      <c r="U189" s="3" t="s">
        <v>353</v>
      </c>
      <c r="W189" t="str">
        <f>IF(LEFT(U189,1)="","",IF(ISNUMBER(SEARCH(LEFT(U189,1),"ABCDG")),"Y",IF(ISNUMBER(SEARCH(LEFT(U189,1),"EFH")),"T",IF(LEFT(U189,1)="I","cek",""))))</f>
        <v>Y</v>
      </c>
      <c r="X189" s="3" t="s">
        <v>348</v>
      </c>
      <c r="Y189" s="3"/>
      <c r="Z189" s="3" t="s">
        <v>478</v>
      </c>
    </row>
    <row r="190" spans="1:26" x14ac:dyDescent="0.3">
      <c r="A190">
        <v>13173</v>
      </c>
      <c r="B190" t="s">
        <v>189</v>
      </c>
      <c r="C190" t="s">
        <v>469</v>
      </c>
      <c r="D190" t="s">
        <v>190</v>
      </c>
      <c r="E190">
        <v>-7.6928340000000004</v>
      </c>
      <c r="F190">
        <v>110.154951</v>
      </c>
      <c r="G190" t="s">
        <v>191</v>
      </c>
      <c r="H190" t="s">
        <v>30</v>
      </c>
      <c r="I190">
        <v>-7.691147</v>
      </c>
      <c r="J190">
        <v>110.154083</v>
      </c>
      <c r="K190">
        <v>2.621</v>
      </c>
      <c r="L190">
        <v>38.073</v>
      </c>
      <c r="M190">
        <v>14.5265</v>
      </c>
      <c r="N190" t="s">
        <v>31</v>
      </c>
      <c r="O190" t="s">
        <v>346</v>
      </c>
      <c r="P190">
        <v>38.073</v>
      </c>
      <c r="Q190">
        <v>0</v>
      </c>
      <c r="R190" s="2" t="s">
        <v>192</v>
      </c>
      <c r="S190" s="2" t="s">
        <v>193</v>
      </c>
      <c r="T190" s="2" t="s">
        <v>606</v>
      </c>
      <c r="U190" s="3" t="s">
        <v>152</v>
      </c>
      <c r="V190" s="3"/>
      <c r="W190" t="str">
        <f t="shared" si="2"/>
        <v>T</v>
      </c>
      <c r="X190" s="3" t="s">
        <v>348</v>
      </c>
      <c r="Y190" s="3"/>
      <c r="Z190" s="3" t="s">
        <v>478</v>
      </c>
    </row>
    <row r="191" spans="1:26" x14ac:dyDescent="0.3">
      <c r="A191">
        <v>13236</v>
      </c>
      <c r="B191" t="s">
        <v>607</v>
      </c>
      <c r="C191" t="s">
        <v>469</v>
      </c>
      <c r="E191">
        <v>-7.9479259999999998</v>
      </c>
      <c r="F191">
        <v>110.170768</v>
      </c>
      <c r="G191" t="s">
        <v>597</v>
      </c>
      <c r="H191" t="s">
        <v>30</v>
      </c>
      <c r="I191">
        <v>-7.9449639999999997</v>
      </c>
      <c r="J191">
        <v>110.17005899999999</v>
      </c>
      <c r="K191">
        <v>4.2089999999999996</v>
      </c>
      <c r="L191">
        <v>62.982999999999997</v>
      </c>
      <c r="M191">
        <v>14.9656</v>
      </c>
      <c r="N191" t="s">
        <v>31</v>
      </c>
      <c r="O191" t="s">
        <v>358</v>
      </c>
      <c r="P191">
        <v>7.6310000000000002</v>
      </c>
      <c r="Q191">
        <v>55.351999999999997</v>
      </c>
      <c r="R191" s="2" t="s">
        <v>608</v>
      </c>
      <c r="S191" s="2" t="s">
        <v>599</v>
      </c>
      <c r="T191" s="2" t="s">
        <v>609</v>
      </c>
      <c r="U191" s="3" t="s">
        <v>353</v>
      </c>
      <c r="W191" t="str">
        <f>IF(LEFT(U191,1)="","",IF(ISNUMBER(SEARCH(LEFT(U191,1),"ABCDG")),"Y",IF(ISNUMBER(SEARCH(LEFT(U191,1),"EFH")),"T",IF(LEFT(U191,1)="I","cek",""))))</f>
        <v>Y</v>
      </c>
      <c r="X191" s="3" t="s">
        <v>348</v>
      </c>
      <c r="Y191" s="3"/>
      <c r="Z191" s="3" t="s">
        <v>478</v>
      </c>
    </row>
    <row r="192" spans="1:26" x14ac:dyDescent="0.3">
      <c r="A192">
        <v>13621</v>
      </c>
      <c r="B192" t="s">
        <v>195</v>
      </c>
      <c r="C192" t="s">
        <v>469</v>
      </c>
      <c r="D192" t="s">
        <v>196</v>
      </c>
      <c r="E192">
        <v>-7.7317910000000003</v>
      </c>
      <c r="F192">
        <v>110.188425</v>
      </c>
      <c r="G192" t="s">
        <v>197</v>
      </c>
      <c r="H192" t="s">
        <v>40</v>
      </c>
      <c r="I192">
        <v>-7.7336369999999999</v>
      </c>
      <c r="J192">
        <v>110.186243</v>
      </c>
      <c r="K192">
        <v>3.944</v>
      </c>
      <c r="L192">
        <v>32.634</v>
      </c>
      <c r="M192">
        <v>8.2745999999999995</v>
      </c>
      <c r="N192" t="s">
        <v>31</v>
      </c>
      <c r="O192" t="s">
        <v>346</v>
      </c>
      <c r="P192">
        <v>32.634</v>
      </c>
      <c r="Q192">
        <v>0</v>
      </c>
      <c r="R192" s="2" t="s">
        <v>198</v>
      </c>
      <c r="S192" s="2" t="s">
        <v>199</v>
      </c>
      <c r="T192" s="2" t="s">
        <v>610</v>
      </c>
      <c r="U192" s="3" t="s">
        <v>152</v>
      </c>
      <c r="V192" s="3"/>
      <c r="W192" t="str">
        <f t="shared" si="2"/>
        <v>T</v>
      </c>
      <c r="X192" s="3" t="s">
        <v>348</v>
      </c>
      <c r="Y192" s="3"/>
      <c r="Z192" s="3" t="s">
        <v>478</v>
      </c>
    </row>
    <row r="193" spans="1:26" x14ac:dyDescent="0.3">
      <c r="A193">
        <v>13946</v>
      </c>
      <c r="B193" t="s">
        <v>201</v>
      </c>
      <c r="C193" t="s">
        <v>469</v>
      </c>
      <c r="D193" t="s">
        <v>202</v>
      </c>
      <c r="E193">
        <v>-7.7552830000000004</v>
      </c>
      <c r="F193">
        <v>110.175684</v>
      </c>
      <c r="G193" t="s">
        <v>203</v>
      </c>
      <c r="H193" t="s">
        <v>40</v>
      </c>
      <c r="I193">
        <v>-7.754016</v>
      </c>
      <c r="J193">
        <v>110.176027</v>
      </c>
      <c r="K193">
        <v>1.8140000000000001</v>
      </c>
      <c r="L193">
        <v>60.933</v>
      </c>
      <c r="M193">
        <v>33.589700000000001</v>
      </c>
      <c r="N193" t="s">
        <v>31</v>
      </c>
      <c r="O193" t="s">
        <v>346</v>
      </c>
      <c r="P193">
        <v>60.933</v>
      </c>
      <c r="Q193">
        <v>0</v>
      </c>
      <c r="R193" s="2" t="s">
        <v>204</v>
      </c>
      <c r="S193" s="2" t="s">
        <v>205</v>
      </c>
      <c r="T193" s="2" t="s">
        <v>611</v>
      </c>
      <c r="U193" s="3" t="s">
        <v>152</v>
      </c>
      <c r="V193" s="3"/>
      <c r="W193" t="str">
        <f t="shared" si="2"/>
        <v>T</v>
      </c>
      <c r="X193" s="3" t="s">
        <v>348</v>
      </c>
      <c r="Y193" s="3"/>
      <c r="Z193" s="3" t="s">
        <v>478</v>
      </c>
    </row>
    <row r="194" spans="1:26" x14ac:dyDescent="0.3">
      <c r="A194">
        <v>14598</v>
      </c>
      <c r="B194" t="s">
        <v>219</v>
      </c>
      <c r="C194" t="s">
        <v>469</v>
      </c>
      <c r="D194" t="s">
        <v>196</v>
      </c>
      <c r="E194">
        <v>-7.7281700000000004</v>
      </c>
      <c r="F194">
        <v>110.186618</v>
      </c>
      <c r="G194" t="s">
        <v>220</v>
      </c>
      <c r="H194" t="s">
        <v>40</v>
      </c>
      <c r="I194">
        <v>-7.7280069999999998</v>
      </c>
      <c r="J194">
        <v>110.18629300000001</v>
      </c>
      <c r="K194">
        <v>0.625</v>
      </c>
      <c r="L194">
        <v>51.320999999999998</v>
      </c>
      <c r="M194">
        <v>82.112899999999996</v>
      </c>
      <c r="N194" t="s">
        <v>31</v>
      </c>
      <c r="O194" t="s">
        <v>346</v>
      </c>
      <c r="P194">
        <v>51.320999999999998</v>
      </c>
      <c r="Q194">
        <v>0</v>
      </c>
      <c r="R194" s="2" t="s">
        <v>221</v>
      </c>
      <c r="S194" s="2" t="s">
        <v>222</v>
      </c>
      <c r="T194" s="2" t="s">
        <v>612</v>
      </c>
      <c r="U194" s="3" t="s">
        <v>878</v>
      </c>
      <c r="V194" s="3"/>
      <c r="W194" t="str">
        <f t="shared" ref="W194:W257" si="3">IF(LEFT(U194,1)="","",IF(ISNUMBER(SEARCH(LEFT(U194,1),"ABCDG")),"Y",IF(ISNUMBER(SEARCH(LEFT(U194,1),"EFH")),"T",IF(LEFT(U194,1)="I","cek",""))))</f>
        <v>T</v>
      </c>
      <c r="X194" s="3" t="s">
        <v>50</v>
      </c>
      <c r="Y194" s="3"/>
      <c r="Z194" s="3" t="s">
        <v>478</v>
      </c>
    </row>
    <row r="195" spans="1:26" x14ac:dyDescent="0.3">
      <c r="A195">
        <v>15271</v>
      </c>
      <c r="B195" t="s">
        <v>613</v>
      </c>
      <c r="C195" t="s">
        <v>469</v>
      </c>
      <c r="E195">
        <v>-7.9226729999999996</v>
      </c>
      <c r="F195">
        <v>110.20801400000001</v>
      </c>
      <c r="G195" t="s">
        <v>602</v>
      </c>
      <c r="H195" t="s">
        <v>40</v>
      </c>
      <c r="I195">
        <v>-7.9239439999999997</v>
      </c>
      <c r="J195">
        <v>110.210145</v>
      </c>
      <c r="K195">
        <v>3.4220000000000002</v>
      </c>
      <c r="L195">
        <v>32.374000000000002</v>
      </c>
      <c r="M195">
        <v>9.4591999999999992</v>
      </c>
      <c r="N195" t="s">
        <v>31</v>
      </c>
      <c r="O195" t="s">
        <v>358</v>
      </c>
      <c r="P195">
        <v>24.137</v>
      </c>
      <c r="Q195">
        <v>8.2370000000000001</v>
      </c>
      <c r="R195" s="2" t="s">
        <v>614</v>
      </c>
      <c r="S195" s="2" t="s">
        <v>604</v>
      </c>
      <c r="T195" s="2" t="s">
        <v>615</v>
      </c>
      <c r="U195" s="3" t="s">
        <v>353</v>
      </c>
      <c r="W195" t="str">
        <f>IF(LEFT(U195,1)="","",IF(ISNUMBER(SEARCH(LEFT(U195,1),"ABCDG")),"Y",IF(ISNUMBER(SEARCH(LEFT(U195,1),"EFH")),"T",IF(LEFT(U195,1)="I","cek",""))))</f>
        <v>Y</v>
      </c>
      <c r="X195" s="3" t="s">
        <v>348</v>
      </c>
      <c r="Y195" s="3"/>
      <c r="Z195" s="3" t="s">
        <v>478</v>
      </c>
    </row>
    <row r="196" spans="1:26" x14ac:dyDescent="0.3">
      <c r="A196">
        <v>15418</v>
      </c>
      <c r="B196" t="s">
        <v>616</v>
      </c>
      <c r="C196" t="s">
        <v>469</v>
      </c>
      <c r="E196">
        <v>-7.9253869999999997</v>
      </c>
      <c r="F196">
        <v>110.20800800000001</v>
      </c>
      <c r="G196" t="s">
        <v>602</v>
      </c>
      <c r="H196" t="s">
        <v>40</v>
      </c>
      <c r="I196">
        <v>-7.9239439999999997</v>
      </c>
      <c r="J196">
        <v>110.210145</v>
      </c>
      <c r="K196">
        <v>3.5550000000000002</v>
      </c>
      <c r="L196">
        <v>39.554000000000002</v>
      </c>
      <c r="M196">
        <v>11.1249</v>
      </c>
      <c r="N196" t="s">
        <v>31</v>
      </c>
      <c r="O196" t="s">
        <v>358</v>
      </c>
      <c r="P196">
        <v>16.742000000000001</v>
      </c>
      <c r="Q196">
        <v>22.812000000000001</v>
      </c>
      <c r="R196" s="2" t="s">
        <v>617</v>
      </c>
      <c r="S196" s="2" t="s">
        <v>604</v>
      </c>
      <c r="T196" s="2" t="s">
        <v>618</v>
      </c>
      <c r="U196" s="3" t="s">
        <v>353</v>
      </c>
      <c r="W196" t="str">
        <f>IF(LEFT(U196,1)="","",IF(ISNUMBER(SEARCH(LEFT(U196,1),"ABCDG")),"Y",IF(ISNUMBER(SEARCH(LEFT(U196,1),"EFH")),"T",IF(LEFT(U196,1)="I","cek",""))))</f>
        <v>Y</v>
      </c>
      <c r="X196" s="3" t="s">
        <v>348</v>
      </c>
      <c r="Y196" s="3"/>
      <c r="Z196" s="3" t="s">
        <v>478</v>
      </c>
    </row>
    <row r="197" spans="1:26" x14ac:dyDescent="0.3">
      <c r="A197">
        <v>15645</v>
      </c>
      <c r="B197" t="s">
        <v>619</v>
      </c>
      <c r="C197" t="s">
        <v>469</v>
      </c>
      <c r="E197">
        <v>-7.9226749999999999</v>
      </c>
      <c r="F197">
        <v>110.208921</v>
      </c>
      <c r="G197" t="s">
        <v>602</v>
      </c>
      <c r="H197" t="s">
        <v>40</v>
      </c>
      <c r="I197">
        <v>-7.9239439999999997</v>
      </c>
      <c r="J197">
        <v>110.210145</v>
      </c>
      <c r="K197">
        <v>2.4340000000000002</v>
      </c>
      <c r="L197">
        <v>31.192</v>
      </c>
      <c r="M197">
        <v>12.815</v>
      </c>
      <c r="N197" t="s">
        <v>31</v>
      </c>
      <c r="O197" t="s">
        <v>358</v>
      </c>
      <c r="P197">
        <v>25.393999999999998</v>
      </c>
      <c r="Q197">
        <v>5.7990000000000004</v>
      </c>
      <c r="R197" s="2" t="s">
        <v>620</v>
      </c>
      <c r="S197" s="2" t="s">
        <v>604</v>
      </c>
      <c r="T197" s="2" t="s">
        <v>621</v>
      </c>
      <c r="U197" s="3" t="s">
        <v>353</v>
      </c>
      <c r="W197" t="str">
        <f>IF(LEFT(U197,1)="","",IF(ISNUMBER(SEARCH(LEFT(U197,1),"ABCDG")),"Y",IF(ISNUMBER(SEARCH(LEFT(U197,1),"EFH")),"T",IF(LEFT(U197,1)="I","cek",""))))</f>
        <v>Y</v>
      </c>
      <c r="X197" s="3" t="s">
        <v>348</v>
      </c>
      <c r="Y197" s="3"/>
      <c r="Z197" s="3" t="s">
        <v>478</v>
      </c>
    </row>
    <row r="198" spans="1:26" x14ac:dyDescent="0.3">
      <c r="A198">
        <v>16015</v>
      </c>
      <c r="B198" t="s">
        <v>622</v>
      </c>
      <c r="C198" t="s">
        <v>469</v>
      </c>
      <c r="E198">
        <v>-7.9272010000000002</v>
      </c>
      <c r="F198">
        <v>110.21072700000001</v>
      </c>
      <c r="G198" t="s">
        <v>514</v>
      </c>
      <c r="H198" t="s">
        <v>40</v>
      </c>
      <c r="I198">
        <v>-7.9287780000000003</v>
      </c>
      <c r="J198">
        <v>110.207966</v>
      </c>
      <c r="K198">
        <v>4.3849999999999998</v>
      </c>
      <c r="L198">
        <v>51.369</v>
      </c>
      <c r="M198">
        <v>11.7156</v>
      </c>
      <c r="N198" t="s">
        <v>31</v>
      </c>
      <c r="O198" t="s">
        <v>358</v>
      </c>
      <c r="P198">
        <v>6.2220000000000004</v>
      </c>
      <c r="Q198">
        <v>45.146999999999998</v>
      </c>
      <c r="R198" s="2" t="s">
        <v>623</v>
      </c>
      <c r="S198" s="2" t="s">
        <v>624</v>
      </c>
      <c r="T198" s="2" t="s">
        <v>625</v>
      </c>
      <c r="U198" s="3" t="s">
        <v>353</v>
      </c>
      <c r="W198" t="str">
        <f>IF(LEFT(U198,1)="","",IF(ISNUMBER(SEARCH(LEFT(U198,1),"ABCDG")),"Y",IF(ISNUMBER(SEARCH(LEFT(U198,1),"EFH")),"T",IF(LEFT(U198,1)="I","cek",""))))</f>
        <v>Y</v>
      </c>
      <c r="X198" s="3" t="s">
        <v>348</v>
      </c>
      <c r="Y198" s="3"/>
      <c r="Z198" s="3" t="s">
        <v>478</v>
      </c>
    </row>
    <row r="199" spans="1:26" x14ac:dyDescent="0.3">
      <c r="A199">
        <v>16216</v>
      </c>
      <c r="B199" t="s">
        <v>244</v>
      </c>
      <c r="C199" t="s">
        <v>469</v>
      </c>
      <c r="D199" t="s">
        <v>196</v>
      </c>
      <c r="E199">
        <v>-7.7317900000000002</v>
      </c>
      <c r="F199">
        <v>110.187518</v>
      </c>
      <c r="G199" t="s">
        <v>197</v>
      </c>
      <c r="H199" t="s">
        <v>40</v>
      </c>
      <c r="I199">
        <v>-7.7336369999999999</v>
      </c>
      <c r="J199">
        <v>110.186243</v>
      </c>
      <c r="K199">
        <v>3.1</v>
      </c>
      <c r="L199">
        <v>35.024999999999999</v>
      </c>
      <c r="M199">
        <v>11.299200000000001</v>
      </c>
      <c r="N199" t="s">
        <v>31</v>
      </c>
      <c r="O199" t="s">
        <v>346</v>
      </c>
      <c r="P199">
        <v>35.024999999999999</v>
      </c>
      <c r="Q199">
        <v>0</v>
      </c>
      <c r="R199" s="2" t="s">
        <v>245</v>
      </c>
      <c r="S199" s="2" t="s">
        <v>199</v>
      </c>
      <c r="T199" s="2" t="s">
        <v>626</v>
      </c>
      <c r="U199" s="3" t="s">
        <v>114</v>
      </c>
      <c r="V199" s="3" t="s">
        <v>152</v>
      </c>
      <c r="W199" t="str">
        <f>IF(LEFT(V199,1)="","",IF(ISNUMBER(SEARCH(LEFT(V199,1),"ABCDG")),"Y",IF(ISNUMBER(SEARCH(LEFT(V199,1),"EFH")),"T",IF(LEFT(V199,1)="I","cek",""))))</f>
        <v>T</v>
      </c>
      <c r="X199" s="3" t="s">
        <v>50</v>
      </c>
      <c r="Y199" s="3"/>
      <c r="Z199" s="3" t="s">
        <v>478</v>
      </c>
    </row>
    <row r="200" spans="1:26" x14ac:dyDescent="0.3">
      <c r="A200">
        <v>16438</v>
      </c>
      <c r="B200" t="s">
        <v>248</v>
      </c>
      <c r="C200" t="s">
        <v>469</v>
      </c>
      <c r="D200" t="s">
        <v>196</v>
      </c>
      <c r="E200">
        <v>-7.7299790000000002</v>
      </c>
      <c r="F200">
        <v>110.186615</v>
      </c>
      <c r="G200" t="s">
        <v>220</v>
      </c>
      <c r="H200" t="s">
        <v>40</v>
      </c>
      <c r="I200">
        <v>-7.7280069999999998</v>
      </c>
      <c r="J200">
        <v>110.18629300000001</v>
      </c>
      <c r="K200">
        <v>2.7610000000000001</v>
      </c>
      <c r="L200">
        <v>46.692999999999998</v>
      </c>
      <c r="M200">
        <v>16.913499999999999</v>
      </c>
      <c r="N200" t="s">
        <v>31</v>
      </c>
      <c r="O200" t="s">
        <v>346</v>
      </c>
      <c r="P200">
        <v>46.692999999999998</v>
      </c>
      <c r="Q200">
        <v>0</v>
      </c>
      <c r="R200" s="2" t="s">
        <v>249</v>
      </c>
      <c r="S200" s="2" t="s">
        <v>222</v>
      </c>
      <c r="T200" s="2" t="s">
        <v>627</v>
      </c>
      <c r="U200" s="3" t="s">
        <v>114</v>
      </c>
      <c r="V200" s="3" t="s">
        <v>152</v>
      </c>
      <c r="W200" t="str">
        <f>IF(LEFT(V200,1)="","",IF(ISNUMBER(SEARCH(LEFT(V200,1),"ABCDG")),"Y",IF(ISNUMBER(SEARCH(LEFT(V200,1),"EFH")),"T",IF(LEFT(V200,1)="I","cek",""))))</f>
        <v>T</v>
      </c>
      <c r="X200" s="3" t="s">
        <v>50</v>
      </c>
      <c r="Y200" s="3"/>
      <c r="Z200" s="3" t="s">
        <v>478</v>
      </c>
    </row>
    <row r="201" spans="1:26" x14ac:dyDescent="0.3">
      <c r="A201">
        <v>16501</v>
      </c>
      <c r="B201" t="s">
        <v>628</v>
      </c>
      <c r="C201" t="s">
        <v>469</v>
      </c>
      <c r="E201">
        <v>-7.9262949999999996</v>
      </c>
      <c r="F201">
        <v>110.20982100000001</v>
      </c>
      <c r="G201" t="s">
        <v>602</v>
      </c>
      <c r="H201" t="s">
        <v>40</v>
      </c>
      <c r="I201">
        <v>-7.9239439999999997</v>
      </c>
      <c r="J201">
        <v>110.210145</v>
      </c>
      <c r="K201">
        <v>3.278</v>
      </c>
      <c r="L201">
        <v>45.359000000000002</v>
      </c>
      <c r="M201">
        <v>13.8353</v>
      </c>
      <c r="N201" t="s">
        <v>31</v>
      </c>
      <c r="O201" t="s">
        <v>358</v>
      </c>
      <c r="P201">
        <v>18.87</v>
      </c>
      <c r="Q201">
        <v>26.489000000000001</v>
      </c>
      <c r="R201" s="2" t="s">
        <v>629</v>
      </c>
      <c r="S201" s="2" t="s">
        <v>604</v>
      </c>
      <c r="T201" s="2" t="s">
        <v>630</v>
      </c>
      <c r="U201" s="3" t="s">
        <v>353</v>
      </c>
      <c r="W201" t="str">
        <f>IF(LEFT(U201,1)="","",IF(ISNUMBER(SEARCH(LEFT(U201,1),"ABCDG")),"Y",IF(ISNUMBER(SEARCH(LEFT(U201,1),"EFH")),"T",IF(LEFT(U201,1)="I","cek",""))))</f>
        <v>Y</v>
      </c>
      <c r="X201" s="3" t="s">
        <v>348</v>
      </c>
      <c r="Y201" s="3"/>
      <c r="Z201" s="3" t="s">
        <v>478</v>
      </c>
    </row>
    <row r="202" spans="1:26" x14ac:dyDescent="0.3">
      <c r="A202">
        <v>16619</v>
      </c>
      <c r="B202" t="s">
        <v>251</v>
      </c>
      <c r="C202" t="s">
        <v>469</v>
      </c>
      <c r="D202" t="s">
        <v>252</v>
      </c>
      <c r="E202">
        <v>-7.647678</v>
      </c>
      <c r="F202">
        <v>110.190398</v>
      </c>
      <c r="G202" t="s">
        <v>253</v>
      </c>
      <c r="H202" t="s">
        <v>30</v>
      </c>
      <c r="I202">
        <v>-7.6484670000000001</v>
      </c>
      <c r="J202">
        <v>110.188632</v>
      </c>
      <c r="K202">
        <v>2.6669999999999998</v>
      </c>
      <c r="L202">
        <v>110.96599999999999</v>
      </c>
      <c r="M202">
        <v>41.603000000000002</v>
      </c>
      <c r="N202" t="s">
        <v>31</v>
      </c>
      <c r="O202" t="s">
        <v>346</v>
      </c>
      <c r="P202">
        <v>110.96599999999999</v>
      </c>
      <c r="Q202">
        <v>0</v>
      </c>
      <c r="R202" s="2" t="s">
        <v>254</v>
      </c>
      <c r="S202" s="2" t="s">
        <v>255</v>
      </c>
      <c r="T202" s="2" t="s">
        <v>631</v>
      </c>
      <c r="U202" s="3" t="s">
        <v>152</v>
      </c>
      <c r="V202" s="3"/>
      <c r="W202" t="str">
        <f t="shared" si="3"/>
        <v>T</v>
      </c>
      <c r="X202" s="3" t="s">
        <v>348</v>
      </c>
      <c r="Y202" s="3"/>
      <c r="Z202" s="3" t="s">
        <v>478</v>
      </c>
    </row>
    <row r="203" spans="1:26" x14ac:dyDescent="0.3">
      <c r="A203">
        <v>17082</v>
      </c>
      <c r="B203" t="s">
        <v>632</v>
      </c>
      <c r="C203" t="s">
        <v>469</v>
      </c>
      <c r="E203">
        <v>-7.9262930000000003</v>
      </c>
      <c r="F203">
        <v>110.20891399999999</v>
      </c>
      <c r="G203" t="s">
        <v>602</v>
      </c>
      <c r="H203" t="s">
        <v>40</v>
      </c>
      <c r="I203">
        <v>-7.9239439999999997</v>
      </c>
      <c r="J203">
        <v>110.210145</v>
      </c>
      <c r="K203">
        <v>3.6619999999999999</v>
      </c>
      <c r="L203">
        <v>42.58</v>
      </c>
      <c r="M203">
        <v>11.6266</v>
      </c>
      <c r="N203" t="s">
        <v>31</v>
      </c>
      <c r="O203" t="s">
        <v>358</v>
      </c>
      <c r="P203">
        <v>16.091000000000001</v>
      </c>
      <c r="Q203">
        <v>26.489000000000001</v>
      </c>
      <c r="R203" s="2" t="s">
        <v>633</v>
      </c>
      <c r="S203" s="2" t="s">
        <v>604</v>
      </c>
      <c r="T203" s="2" t="s">
        <v>634</v>
      </c>
      <c r="U203" s="3" t="s">
        <v>353</v>
      </c>
      <c r="W203" t="str">
        <f>IF(LEFT(U203,1)="","",IF(ISNUMBER(SEARCH(LEFT(U203,1),"ABCDG")),"Y",IF(ISNUMBER(SEARCH(LEFT(U203,1),"EFH")),"T",IF(LEFT(U203,1)="I","cek",""))))</f>
        <v>Y</v>
      </c>
      <c r="X203" s="3" t="s">
        <v>348</v>
      </c>
      <c r="Y203" s="3"/>
      <c r="Z203" s="3" t="s">
        <v>478</v>
      </c>
    </row>
    <row r="204" spans="1:26" x14ac:dyDescent="0.3">
      <c r="A204">
        <v>17409</v>
      </c>
      <c r="B204" t="s">
        <v>268</v>
      </c>
      <c r="C204" t="s">
        <v>469</v>
      </c>
      <c r="D204" t="s">
        <v>269</v>
      </c>
      <c r="E204">
        <v>-7.7154790000000002</v>
      </c>
      <c r="F204">
        <v>110.172134</v>
      </c>
      <c r="G204" t="s">
        <v>270</v>
      </c>
      <c r="H204" t="s">
        <v>40</v>
      </c>
      <c r="I204">
        <v>-7.7176850000000004</v>
      </c>
      <c r="J204">
        <v>110.17143900000001</v>
      </c>
      <c r="K204">
        <v>3.1949999999999998</v>
      </c>
      <c r="L204">
        <v>45.420999999999999</v>
      </c>
      <c r="M204">
        <v>14.2164</v>
      </c>
      <c r="N204" t="s">
        <v>31</v>
      </c>
      <c r="O204" t="s">
        <v>346</v>
      </c>
      <c r="P204">
        <v>45.420999999999999</v>
      </c>
      <c r="Q204">
        <v>0</v>
      </c>
      <c r="R204" s="2" t="s">
        <v>271</v>
      </c>
      <c r="S204" s="2" t="s">
        <v>272</v>
      </c>
      <c r="T204" s="2" t="s">
        <v>635</v>
      </c>
      <c r="U204" s="3" t="s">
        <v>114</v>
      </c>
      <c r="V204" s="3" t="s">
        <v>152</v>
      </c>
      <c r="W204" t="str">
        <f t="shared" si="3"/>
        <v>Y</v>
      </c>
      <c r="X204" s="3" t="s">
        <v>50</v>
      </c>
      <c r="Y204" s="3"/>
      <c r="Z204" s="3" t="s">
        <v>478</v>
      </c>
    </row>
    <row r="205" spans="1:26" x14ac:dyDescent="0.3">
      <c r="A205">
        <v>17432</v>
      </c>
      <c r="B205" t="s">
        <v>275</v>
      </c>
      <c r="C205" t="s">
        <v>469</v>
      </c>
      <c r="D205" t="s">
        <v>170</v>
      </c>
      <c r="E205">
        <v>-7.912763</v>
      </c>
      <c r="F205">
        <v>110.228897</v>
      </c>
      <c r="G205" t="s">
        <v>171</v>
      </c>
      <c r="H205" t="s">
        <v>40</v>
      </c>
      <c r="I205">
        <v>-7.9104150000000004</v>
      </c>
      <c r="J205">
        <v>110.22888399999999</v>
      </c>
      <c r="K205">
        <v>3.2450000000000001</v>
      </c>
      <c r="L205">
        <v>43.569000000000003</v>
      </c>
      <c r="M205">
        <v>13.4268</v>
      </c>
      <c r="N205" t="s">
        <v>31</v>
      </c>
      <c r="O205" t="s">
        <v>351</v>
      </c>
      <c r="P205">
        <v>32.158000000000001</v>
      </c>
      <c r="Q205">
        <v>11.412000000000001</v>
      </c>
      <c r="R205" s="2" t="s">
        <v>276</v>
      </c>
      <c r="S205" s="2" t="s">
        <v>173</v>
      </c>
      <c r="T205" s="2" t="s">
        <v>636</v>
      </c>
      <c r="U205" s="3" t="s">
        <v>353</v>
      </c>
      <c r="W205" t="e">
        <f>IF(LEFT(#REF!,1)="","",IF(ISNUMBER(SEARCH(LEFT(#REF!,1),"ABCDG")),"Y",IF(ISNUMBER(SEARCH(LEFT(#REF!,1),"EFH")),"T",IF(LEFT(#REF!,1)="I","cek",""))))</f>
        <v>#REF!</v>
      </c>
      <c r="X205" s="3" t="s">
        <v>50</v>
      </c>
      <c r="Y205" s="3"/>
      <c r="Z205" s="3" t="s">
        <v>478</v>
      </c>
    </row>
    <row r="206" spans="1:26" x14ac:dyDescent="0.3">
      <c r="A206">
        <v>17440</v>
      </c>
      <c r="B206" t="s">
        <v>637</v>
      </c>
      <c r="C206" t="s">
        <v>469</v>
      </c>
      <c r="E206">
        <v>-7.9470229999999997</v>
      </c>
      <c r="F206">
        <v>110.171677</v>
      </c>
      <c r="G206" t="s">
        <v>597</v>
      </c>
      <c r="H206" t="s">
        <v>30</v>
      </c>
      <c r="I206">
        <v>-7.9449639999999997</v>
      </c>
      <c r="J206">
        <v>110.17005899999999</v>
      </c>
      <c r="K206">
        <v>3.6150000000000002</v>
      </c>
      <c r="L206">
        <v>61.616999999999997</v>
      </c>
      <c r="M206">
        <v>17.0427</v>
      </c>
      <c r="N206" t="s">
        <v>31</v>
      </c>
      <c r="O206" t="s">
        <v>358</v>
      </c>
      <c r="P206">
        <v>5.343</v>
      </c>
      <c r="Q206">
        <v>56.274000000000001</v>
      </c>
      <c r="R206" s="2" t="s">
        <v>638</v>
      </c>
      <c r="S206" s="2" t="s">
        <v>599</v>
      </c>
      <c r="T206" s="2" t="s">
        <v>639</v>
      </c>
      <c r="U206" s="3" t="s">
        <v>353</v>
      </c>
      <c r="W206" t="str">
        <f>IF(LEFT(U206,1)="","",IF(ISNUMBER(SEARCH(LEFT(U206,1),"ABCDG")),"Y",IF(ISNUMBER(SEARCH(LEFT(U206,1),"EFH")),"T",IF(LEFT(U206,1)="I","cek",""))))</f>
        <v>Y</v>
      </c>
      <c r="X206" s="3" t="s">
        <v>348</v>
      </c>
      <c r="Y206" s="3"/>
      <c r="Z206" s="3" t="s">
        <v>478</v>
      </c>
    </row>
    <row r="207" spans="1:26" x14ac:dyDescent="0.3">
      <c r="A207">
        <v>17663</v>
      </c>
      <c r="B207" t="s">
        <v>282</v>
      </c>
      <c r="C207" t="s">
        <v>469</v>
      </c>
      <c r="D207" t="s">
        <v>190</v>
      </c>
      <c r="E207">
        <v>-7.6928320000000001</v>
      </c>
      <c r="F207">
        <v>110.154045</v>
      </c>
      <c r="G207" t="s">
        <v>191</v>
      </c>
      <c r="H207" t="s">
        <v>30</v>
      </c>
      <c r="I207">
        <v>-7.691147</v>
      </c>
      <c r="J207">
        <v>110.154083</v>
      </c>
      <c r="K207">
        <v>2.33</v>
      </c>
      <c r="L207">
        <v>38.99</v>
      </c>
      <c r="M207">
        <v>16.735099999999999</v>
      </c>
      <c r="N207" t="s">
        <v>31</v>
      </c>
      <c r="O207" t="s">
        <v>346</v>
      </c>
      <c r="P207">
        <v>38.99</v>
      </c>
      <c r="Q207">
        <v>0</v>
      </c>
      <c r="R207" s="2" t="s">
        <v>283</v>
      </c>
      <c r="S207" s="2" t="s">
        <v>193</v>
      </c>
      <c r="T207" s="2" t="s">
        <v>640</v>
      </c>
      <c r="U207" s="3" t="s">
        <v>114</v>
      </c>
      <c r="V207" s="3" t="s">
        <v>152</v>
      </c>
      <c r="W207" t="str">
        <f t="shared" si="3"/>
        <v>Y</v>
      </c>
      <c r="X207" s="3" t="s">
        <v>50</v>
      </c>
      <c r="Y207" s="3"/>
      <c r="Z207" s="3" t="s">
        <v>478</v>
      </c>
    </row>
    <row r="208" spans="1:26" x14ac:dyDescent="0.3">
      <c r="A208">
        <v>18206</v>
      </c>
      <c r="B208" t="s">
        <v>641</v>
      </c>
      <c r="C208" t="s">
        <v>469</v>
      </c>
      <c r="E208">
        <v>-7.9479280000000001</v>
      </c>
      <c r="F208">
        <v>110.17167499999999</v>
      </c>
      <c r="G208" t="s">
        <v>597</v>
      </c>
      <c r="H208" t="s">
        <v>30</v>
      </c>
      <c r="I208">
        <v>-7.9449639999999997</v>
      </c>
      <c r="J208">
        <v>110.17005899999999</v>
      </c>
      <c r="K208">
        <v>4.6619999999999999</v>
      </c>
      <c r="L208">
        <v>62.277000000000001</v>
      </c>
      <c r="M208">
        <v>13.3574</v>
      </c>
      <c r="N208" t="s">
        <v>31</v>
      </c>
      <c r="O208" t="s">
        <v>358</v>
      </c>
      <c r="P208">
        <v>6.9260000000000002</v>
      </c>
      <c r="Q208">
        <v>55.351999999999997</v>
      </c>
      <c r="R208" s="2" t="s">
        <v>642</v>
      </c>
      <c r="S208" s="2" t="s">
        <v>599</v>
      </c>
      <c r="T208" s="2" t="s">
        <v>643</v>
      </c>
      <c r="U208" s="3" t="s">
        <v>353</v>
      </c>
      <c r="W208" t="str">
        <f>IF(LEFT(U208,1)="","",IF(ISNUMBER(SEARCH(LEFT(U208,1),"ABCDG")),"Y",IF(ISNUMBER(SEARCH(LEFT(U208,1),"EFH")),"T",IF(LEFT(U208,1)="I","cek",""))))</f>
        <v>Y</v>
      </c>
      <c r="X208" s="3" t="s">
        <v>348</v>
      </c>
      <c r="Y208" s="3"/>
      <c r="Z208" s="3" t="s">
        <v>478</v>
      </c>
    </row>
    <row r="209" spans="1:26" x14ac:dyDescent="0.3">
      <c r="A209">
        <v>18583</v>
      </c>
      <c r="B209" t="s">
        <v>296</v>
      </c>
      <c r="C209" t="s">
        <v>469</v>
      </c>
      <c r="D209" t="s">
        <v>170</v>
      </c>
      <c r="E209">
        <v>-7.9136680000000004</v>
      </c>
      <c r="F209">
        <v>110.22889600000001</v>
      </c>
      <c r="G209" t="s">
        <v>171</v>
      </c>
      <c r="H209" t="s">
        <v>40</v>
      </c>
      <c r="I209">
        <v>-7.9104150000000004</v>
      </c>
      <c r="J209">
        <v>110.22888399999999</v>
      </c>
      <c r="K209">
        <v>4.4950000000000001</v>
      </c>
      <c r="L209">
        <v>42.677</v>
      </c>
      <c r="M209">
        <v>9.4945000000000004</v>
      </c>
      <c r="N209" t="s">
        <v>31</v>
      </c>
      <c r="O209" t="s">
        <v>351</v>
      </c>
      <c r="P209">
        <v>31.265000000000001</v>
      </c>
      <c r="Q209">
        <v>11.412000000000001</v>
      </c>
      <c r="R209" s="2" t="s">
        <v>297</v>
      </c>
      <c r="S209" s="2" t="s">
        <v>173</v>
      </c>
      <c r="T209" s="2" t="s">
        <v>644</v>
      </c>
      <c r="U209" s="3" t="s">
        <v>353</v>
      </c>
      <c r="W209" t="e">
        <f>IF(LEFT(#REF!,1)="","",IF(ISNUMBER(SEARCH(LEFT(#REF!,1),"ABCDG")),"Y",IF(ISNUMBER(SEARCH(LEFT(#REF!,1),"EFH")),"T",IF(LEFT(#REF!,1)="I","cek",""))))</f>
        <v>#REF!</v>
      </c>
      <c r="X209" s="3" t="s">
        <v>50</v>
      </c>
      <c r="Y209" s="3"/>
      <c r="Z209" s="3" t="s">
        <v>478</v>
      </c>
    </row>
    <row r="210" spans="1:26" x14ac:dyDescent="0.3">
      <c r="A210">
        <v>19767</v>
      </c>
      <c r="B210" t="s">
        <v>645</v>
      </c>
      <c r="C210" t="s">
        <v>469</v>
      </c>
      <c r="E210">
        <v>-7.9163839999999999</v>
      </c>
      <c r="F210">
        <v>110.230705</v>
      </c>
      <c r="G210" t="s">
        <v>646</v>
      </c>
      <c r="H210" t="s">
        <v>30</v>
      </c>
      <c r="I210">
        <v>-7.9177239999999998</v>
      </c>
      <c r="J210">
        <v>110.22912100000001</v>
      </c>
      <c r="K210">
        <v>2.8620000000000001</v>
      </c>
      <c r="L210">
        <v>48.500999999999998</v>
      </c>
      <c r="M210">
        <v>16.946400000000001</v>
      </c>
      <c r="N210" t="s">
        <v>31</v>
      </c>
      <c r="O210" t="s">
        <v>358</v>
      </c>
      <c r="P210">
        <v>11.118</v>
      </c>
      <c r="Q210">
        <v>37.383000000000003</v>
      </c>
      <c r="R210" s="2" t="s">
        <v>647</v>
      </c>
      <c r="S210" s="2" t="s">
        <v>648</v>
      </c>
      <c r="T210" s="2" t="s">
        <v>649</v>
      </c>
      <c r="U210" s="3" t="s">
        <v>353</v>
      </c>
      <c r="W210" t="str">
        <f>IF(LEFT(U210,1)="","",IF(ISNUMBER(SEARCH(LEFT(U210,1),"ABCDG")),"Y",IF(ISNUMBER(SEARCH(LEFT(U210,1),"EFH")),"T",IF(LEFT(U210,1)="I","cek",""))))</f>
        <v>Y</v>
      </c>
      <c r="X210" s="3" t="s">
        <v>348</v>
      </c>
      <c r="Y210" s="3"/>
      <c r="Z210" s="3" t="s">
        <v>478</v>
      </c>
    </row>
    <row r="211" spans="1:26" x14ac:dyDescent="0.3">
      <c r="A211">
        <v>19847</v>
      </c>
      <c r="B211" t="s">
        <v>650</v>
      </c>
      <c r="C211" t="s">
        <v>469</v>
      </c>
      <c r="E211">
        <v>-7.9253879999999999</v>
      </c>
      <c r="F211">
        <v>110.208916</v>
      </c>
      <c r="G211" t="s">
        <v>602</v>
      </c>
      <c r="H211" t="s">
        <v>40</v>
      </c>
      <c r="I211">
        <v>-7.9239439999999997</v>
      </c>
      <c r="J211">
        <v>110.210145</v>
      </c>
      <c r="K211">
        <v>2.6179999999999999</v>
      </c>
      <c r="L211">
        <v>43.511000000000003</v>
      </c>
      <c r="M211">
        <v>16.621300000000002</v>
      </c>
      <c r="N211" t="s">
        <v>31</v>
      </c>
      <c r="O211" t="s">
        <v>358</v>
      </c>
      <c r="P211">
        <v>17.021999999999998</v>
      </c>
      <c r="Q211">
        <v>26.489000000000001</v>
      </c>
      <c r="R211" s="2" t="s">
        <v>651</v>
      </c>
      <c r="S211" s="2" t="s">
        <v>604</v>
      </c>
      <c r="T211" s="2" t="s">
        <v>652</v>
      </c>
      <c r="U211" s="3" t="s">
        <v>353</v>
      </c>
      <c r="W211" t="str">
        <f>IF(LEFT(U211,1)="","",IF(ISNUMBER(SEARCH(LEFT(U211,1),"ABCDG")),"Y",IF(ISNUMBER(SEARCH(LEFT(U211,1),"EFH")),"T",IF(LEFT(U211,1)="I","cek",""))))</f>
        <v>Y</v>
      </c>
      <c r="X211" s="3" t="s">
        <v>348</v>
      </c>
      <c r="Y211" s="3"/>
      <c r="Z211" s="3" t="s">
        <v>478</v>
      </c>
    </row>
    <row r="212" spans="1:26" x14ac:dyDescent="0.3">
      <c r="A212">
        <v>20037</v>
      </c>
      <c r="B212" t="s">
        <v>653</v>
      </c>
      <c r="C212" t="s">
        <v>469</v>
      </c>
      <c r="E212">
        <v>-7.9244839999999996</v>
      </c>
      <c r="F212">
        <v>110.208917</v>
      </c>
      <c r="G212" t="s">
        <v>602</v>
      </c>
      <c r="H212" t="s">
        <v>40</v>
      </c>
      <c r="I212">
        <v>-7.9239439999999997</v>
      </c>
      <c r="J212">
        <v>110.210145</v>
      </c>
      <c r="K212">
        <v>1.849</v>
      </c>
      <c r="L212">
        <v>33.091999999999999</v>
      </c>
      <c r="M212">
        <v>17.898499999999999</v>
      </c>
      <c r="N212" t="s">
        <v>31</v>
      </c>
      <c r="O212" t="s">
        <v>358</v>
      </c>
      <c r="P212">
        <v>27.986999999999998</v>
      </c>
      <c r="Q212">
        <v>5.1050000000000004</v>
      </c>
      <c r="R212" s="2" t="s">
        <v>654</v>
      </c>
      <c r="S212" s="2" t="s">
        <v>604</v>
      </c>
      <c r="T212" s="2" t="s">
        <v>655</v>
      </c>
      <c r="U212" s="3" t="s">
        <v>353</v>
      </c>
      <c r="W212" t="str">
        <f>IF(LEFT(U212,1)="","",IF(ISNUMBER(SEARCH(LEFT(U212,1),"ABCDG")),"Y",IF(ISNUMBER(SEARCH(LEFT(U212,1),"EFH")),"T",IF(LEFT(U212,1)="I","cek",""))))</f>
        <v>Y</v>
      </c>
      <c r="X212" s="3" t="s">
        <v>348</v>
      </c>
      <c r="Y212" s="3"/>
      <c r="Z212" s="3" t="s">
        <v>478</v>
      </c>
    </row>
    <row r="213" spans="1:26" x14ac:dyDescent="0.3">
      <c r="A213">
        <v>20403</v>
      </c>
      <c r="B213" t="s">
        <v>656</v>
      </c>
      <c r="C213" t="s">
        <v>469</v>
      </c>
      <c r="E213">
        <v>-7.9461190000000004</v>
      </c>
      <c r="F213">
        <v>110.171679</v>
      </c>
      <c r="G213" t="s">
        <v>597</v>
      </c>
      <c r="H213" t="s">
        <v>30</v>
      </c>
      <c r="I213">
        <v>-7.9449639999999997</v>
      </c>
      <c r="J213">
        <v>110.17005899999999</v>
      </c>
      <c r="K213">
        <v>2.7440000000000002</v>
      </c>
      <c r="L213">
        <v>63.332999999999998</v>
      </c>
      <c r="M213">
        <v>23.079699999999999</v>
      </c>
      <c r="N213" t="s">
        <v>31</v>
      </c>
      <c r="O213" t="s">
        <v>358</v>
      </c>
      <c r="P213">
        <v>4.6319999999999997</v>
      </c>
      <c r="Q213">
        <v>58.701000000000001</v>
      </c>
      <c r="R213" s="2" t="s">
        <v>657</v>
      </c>
      <c r="S213" s="2" t="s">
        <v>599</v>
      </c>
      <c r="T213" s="2" t="s">
        <v>658</v>
      </c>
      <c r="U213" s="3" t="s">
        <v>353</v>
      </c>
      <c r="W213" t="str">
        <f>IF(LEFT(U213,1)="","",IF(ISNUMBER(SEARCH(LEFT(U213,1),"ABCDG")),"Y",IF(ISNUMBER(SEARCH(LEFT(U213,1),"EFH")),"T",IF(LEFT(U213,1)="I","cek",""))))</f>
        <v>Y</v>
      </c>
      <c r="X213" s="3" t="s">
        <v>348</v>
      </c>
      <c r="Y213" s="3"/>
      <c r="Z213" s="3" t="s">
        <v>478</v>
      </c>
    </row>
    <row r="214" spans="1:26" x14ac:dyDescent="0.3">
      <c r="A214">
        <v>20620</v>
      </c>
      <c r="B214" t="s">
        <v>659</v>
      </c>
      <c r="C214" t="s">
        <v>469</v>
      </c>
      <c r="E214">
        <v>-7.9244820000000002</v>
      </c>
      <c r="F214">
        <v>110.20801</v>
      </c>
      <c r="G214" t="s">
        <v>602</v>
      </c>
      <c r="H214" t="s">
        <v>40</v>
      </c>
      <c r="I214">
        <v>-7.9239439999999997</v>
      </c>
      <c r="J214">
        <v>110.210145</v>
      </c>
      <c r="K214">
        <v>3.0339999999999998</v>
      </c>
      <c r="L214">
        <v>39.396999999999998</v>
      </c>
      <c r="M214">
        <v>12.9838</v>
      </c>
      <c r="N214" t="s">
        <v>31</v>
      </c>
      <c r="O214" t="s">
        <v>358</v>
      </c>
      <c r="P214">
        <v>18.119</v>
      </c>
      <c r="Q214">
        <v>21.279</v>
      </c>
      <c r="R214" s="2" t="s">
        <v>660</v>
      </c>
      <c r="S214" s="2" t="s">
        <v>604</v>
      </c>
      <c r="T214" s="2" t="s">
        <v>661</v>
      </c>
      <c r="U214" s="3" t="s">
        <v>353</v>
      </c>
      <c r="W214" t="str">
        <f>IF(LEFT(U214,1)="","",IF(ISNUMBER(SEARCH(LEFT(U214,1),"ABCDG")),"Y",IF(ISNUMBER(SEARCH(LEFT(U214,1),"EFH")),"T",IF(LEFT(U214,1)="I","cek",""))))</f>
        <v>Y</v>
      </c>
      <c r="X214" s="3" t="s">
        <v>348</v>
      </c>
      <c r="Y214" s="3"/>
      <c r="Z214" s="3" t="s">
        <v>478</v>
      </c>
    </row>
    <row r="215" spans="1:26" x14ac:dyDescent="0.3">
      <c r="A215">
        <v>21194</v>
      </c>
      <c r="B215" t="s">
        <v>662</v>
      </c>
      <c r="C215" t="s">
        <v>469</v>
      </c>
      <c r="E215">
        <v>-7.8954339999999998</v>
      </c>
      <c r="F215">
        <v>110.154545</v>
      </c>
      <c r="G215" t="s">
        <v>663</v>
      </c>
      <c r="H215" t="s">
        <v>30</v>
      </c>
      <c r="I215">
        <v>-7.8930090000000002</v>
      </c>
      <c r="J215">
        <v>110.152691</v>
      </c>
      <c r="K215">
        <v>4.2149999999999999</v>
      </c>
      <c r="L215">
        <v>31.11</v>
      </c>
      <c r="M215">
        <v>7.3806000000000003</v>
      </c>
      <c r="N215" t="s">
        <v>31</v>
      </c>
      <c r="O215" t="s">
        <v>358</v>
      </c>
      <c r="P215">
        <v>6.7190000000000003</v>
      </c>
      <c r="Q215">
        <v>24.390999999999998</v>
      </c>
      <c r="R215" s="2" t="s">
        <v>664</v>
      </c>
      <c r="S215" s="2" t="s">
        <v>665</v>
      </c>
      <c r="T215" s="2" t="s">
        <v>666</v>
      </c>
      <c r="U215" s="3" t="s">
        <v>353</v>
      </c>
      <c r="W215" t="str">
        <f>IF(LEFT(U215,1)="","",IF(ISNUMBER(SEARCH(LEFT(U215,1),"ABCDG")),"Y",IF(ISNUMBER(SEARCH(LEFT(U215,1),"EFH")),"T",IF(LEFT(U215,1)="I","cek",""))))</f>
        <v>Y</v>
      </c>
      <c r="X215" s="3" t="s">
        <v>348</v>
      </c>
      <c r="Y215" s="3"/>
      <c r="Z215" s="3" t="s">
        <v>478</v>
      </c>
    </row>
    <row r="216" spans="1:26" x14ac:dyDescent="0.3">
      <c r="A216">
        <v>21384</v>
      </c>
      <c r="B216" t="s">
        <v>324</v>
      </c>
      <c r="C216" t="s">
        <v>469</v>
      </c>
      <c r="D216" t="s">
        <v>170</v>
      </c>
      <c r="E216">
        <v>-7.9136689999999996</v>
      </c>
      <c r="F216">
        <v>110.229803</v>
      </c>
      <c r="G216" t="s">
        <v>171</v>
      </c>
      <c r="H216" t="s">
        <v>40</v>
      </c>
      <c r="I216">
        <v>-7.9104150000000004</v>
      </c>
      <c r="J216">
        <v>110.22888399999999</v>
      </c>
      <c r="K216">
        <v>4.6719999999999997</v>
      </c>
      <c r="L216">
        <v>41.741999999999997</v>
      </c>
      <c r="M216">
        <v>8.9345999999999997</v>
      </c>
      <c r="N216" t="s">
        <v>31</v>
      </c>
      <c r="O216" t="s">
        <v>351</v>
      </c>
      <c r="P216">
        <v>30.33</v>
      </c>
      <c r="Q216">
        <v>11.412000000000001</v>
      </c>
      <c r="R216" s="2" t="s">
        <v>325</v>
      </c>
      <c r="S216" s="2" t="s">
        <v>173</v>
      </c>
      <c r="T216" s="2" t="s">
        <v>667</v>
      </c>
      <c r="U216" s="3" t="s">
        <v>353</v>
      </c>
      <c r="W216" t="e">
        <f>IF(LEFT(#REF!,1)="","",IF(ISNUMBER(SEARCH(LEFT(#REF!,1),"ABCDG")),"Y",IF(ISNUMBER(SEARCH(LEFT(#REF!,1),"EFH")),"T",IF(LEFT(#REF!,1)="I","cek",""))))</f>
        <v>#REF!</v>
      </c>
      <c r="X216" s="3" t="s">
        <v>50</v>
      </c>
      <c r="Y216" s="3"/>
      <c r="Z216" s="3" t="s">
        <v>478</v>
      </c>
    </row>
    <row r="217" spans="1:26" x14ac:dyDescent="0.3">
      <c r="A217">
        <v>21910</v>
      </c>
      <c r="B217" t="s">
        <v>668</v>
      </c>
      <c r="C217" t="s">
        <v>469</v>
      </c>
      <c r="E217">
        <v>-7.9461209999999998</v>
      </c>
      <c r="F217">
        <v>110.172586</v>
      </c>
      <c r="G217" t="s">
        <v>597</v>
      </c>
      <c r="H217" t="s">
        <v>30</v>
      </c>
      <c r="I217">
        <v>-7.9449639999999997</v>
      </c>
      <c r="J217">
        <v>110.17005899999999</v>
      </c>
      <c r="K217">
        <v>3.8319999999999999</v>
      </c>
      <c r="L217">
        <v>62.668999999999997</v>
      </c>
      <c r="M217">
        <v>16.355799999999999</v>
      </c>
      <c r="N217" t="s">
        <v>31</v>
      </c>
      <c r="O217" t="s">
        <v>358</v>
      </c>
      <c r="P217">
        <v>4.1749999999999998</v>
      </c>
      <c r="Q217">
        <v>58.494</v>
      </c>
      <c r="R217" s="2" t="s">
        <v>669</v>
      </c>
      <c r="S217" s="2" t="s">
        <v>599</v>
      </c>
      <c r="T217" s="2" t="s">
        <v>670</v>
      </c>
      <c r="U217" s="3" t="s">
        <v>353</v>
      </c>
      <c r="W217" t="str">
        <f>IF(LEFT(U217,1)="","",IF(ISNUMBER(SEARCH(LEFT(U217,1),"ABCDG")),"Y",IF(ISNUMBER(SEARCH(LEFT(U217,1),"EFH")),"T",IF(LEFT(U217,1)="I","cek",""))))</f>
        <v>Y</v>
      </c>
      <c r="X217" s="3" t="s">
        <v>348</v>
      </c>
      <c r="Y217" s="3"/>
      <c r="Z217" s="3" t="s">
        <v>478</v>
      </c>
    </row>
    <row r="218" spans="1:26" x14ac:dyDescent="0.3">
      <c r="A218">
        <v>22130</v>
      </c>
      <c r="B218" t="s">
        <v>671</v>
      </c>
      <c r="C218" t="s">
        <v>469</v>
      </c>
      <c r="E218">
        <v>-7.923578</v>
      </c>
      <c r="F218">
        <v>110.208012</v>
      </c>
      <c r="G218" t="s">
        <v>602</v>
      </c>
      <c r="H218" t="s">
        <v>40</v>
      </c>
      <c r="I218">
        <v>-7.9239439999999997</v>
      </c>
      <c r="J218">
        <v>110.210145</v>
      </c>
      <c r="K218">
        <v>2.9830000000000001</v>
      </c>
      <c r="L218">
        <v>33.18</v>
      </c>
      <c r="M218">
        <v>11.1236</v>
      </c>
      <c r="N218" t="s">
        <v>31</v>
      </c>
      <c r="O218" t="s">
        <v>358</v>
      </c>
      <c r="P218">
        <v>28.076000000000001</v>
      </c>
      <c r="Q218">
        <v>5.1050000000000004</v>
      </c>
      <c r="R218" s="2" t="s">
        <v>672</v>
      </c>
      <c r="S218" s="2" t="s">
        <v>604</v>
      </c>
      <c r="T218" s="2" t="s">
        <v>673</v>
      </c>
      <c r="U218" s="3" t="s">
        <v>353</v>
      </c>
      <c r="W218" t="str">
        <f>IF(LEFT(U218,1)="","",IF(ISNUMBER(SEARCH(LEFT(U218,1),"ABCDG")),"Y",IF(ISNUMBER(SEARCH(LEFT(U218,1),"EFH")),"T",IF(LEFT(U218,1)="I","cek",""))))</f>
        <v>Y</v>
      </c>
      <c r="X218" s="3" t="s">
        <v>348</v>
      </c>
      <c r="Y218" s="3"/>
      <c r="Z218" s="3" t="s">
        <v>478</v>
      </c>
    </row>
    <row r="219" spans="1:26" x14ac:dyDescent="0.3">
      <c r="A219">
        <v>22271</v>
      </c>
      <c r="B219" t="s">
        <v>674</v>
      </c>
      <c r="C219" t="s">
        <v>469</v>
      </c>
      <c r="E219">
        <v>-7.9244859999999999</v>
      </c>
      <c r="F219">
        <v>110.209824</v>
      </c>
      <c r="G219" t="s">
        <v>602</v>
      </c>
      <c r="H219" t="s">
        <v>40</v>
      </c>
      <c r="I219">
        <v>-7.9239439999999997</v>
      </c>
      <c r="J219">
        <v>110.210145</v>
      </c>
      <c r="K219">
        <v>0.86899999999999999</v>
      </c>
      <c r="L219">
        <v>34.366999999999997</v>
      </c>
      <c r="M219">
        <v>39.560400000000001</v>
      </c>
      <c r="N219" t="s">
        <v>31</v>
      </c>
      <c r="O219" t="s">
        <v>358</v>
      </c>
      <c r="P219">
        <v>29.262</v>
      </c>
      <c r="Q219">
        <v>5.1050000000000004</v>
      </c>
      <c r="R219" s="2" t="s">
        <v>675</v>
      </c>
      <c r="S219" s="2" t="s">
        <v>604</v>
      </c>
      <c r="T219" s="2" t="s">
        <v>676</v>
      </c>
      <c r="U219" s="3" t="s">
        <v>353</v>
      </c>
      <c r="W219" t="str">
        <f>IF(LEFT(U219,1)="","",IF(ISNUMBER(SEARCH(LEFT(U219,1),"ABCDG")),"Y",IF(ISNUMBER(SEARCH(LEFT(U219,1),"EFH")),"T",IF(LEFT(U219,1)="I","cek",""))))</f>
        <v>Y</v>
      </c>
      <c r="X219" s="3" t="s">
        <v>348</v>
      </c>
      <c r="Y219" s="3"/>
      <c r="Z219" s="3" t="s">
        <v>478</v>
      </c>
    </row>
    <row r="220" spans="1:26" x14ac:dyDescent="0.3">
      <c r="A220">
        <v>22574</v>
      </c>
      <c r="B220" t="s">
        <v>677</v>
      </c>
      <c r="C220" t="s">
        <v>469</v>
      </c>
      <c r="E220">
        <v>-7.9154799999999996</v>
      </c>
      <c r="F220">
        <v>110.230707</v>
      </c>
      <c r="G220" t="s">
        <v>646</v>
      </c>
      <c r="H220" t="s">
        <v>30</v>
      </c>
      <c r="I220">
        <v>-7.9177239999999998</v>
      </c>
      <c r="J220">
        <v>110.22912100000001</v>
      </c>
      <c r="K220">
        <v>3.794</v>
      </c>
      <c r="L220">
        <v>47.533999999999999</v>
      </c>
      <c r="M220">
        <v>12.5298</v>
      </c>
      <c r="N220" t="s">
        <v>31</v>
      </c>
      <c r="O220" t="s">
        <v>358</v>
      </c>
      <c r="P220">
        <v>11.875999999999999</v>
      </c>
      <c r="Q220">
        <v>35.656999999999996</v>
      </c>
      <c r="R220" s="2" t="s">
        <v>678</v>
      </c>
      <c r="S220" s="2" t="s">
        <v>648</v>
      </c>
      <c r="T220" s="2" t="s">
        <v>679</v>
      </c>
      <c r="U220" s="3" t="s">
        <v>353</v>
      </c>
      <c r="W220" t="str">
        <f>IF(LEFT(U220,1)="","",IF(ISNUMBER(SEARCH(LEFT(U220,1),"ABCDG")),"Y",IF(ISNUMBER(SEARCH(LEFT(U220,1),"EFH")),"T",IF(LEFT(U220,1)="I","cek",""))))</f>
        <v>Y</v>
      </c>
      <c r="X220" s="3" t="s">
        <v>348</v>
      </c>
      <c r="Y220" s="3"/>
      <c r="Z220" s="3" t="s">
        <v>478</v>
      </c>
    </row>
    <row r="221" spans="1:26" x14ac:dyDescent="0.3">
      <c r="A221">
        <v>22666</v>
      </c>
      <c r="B221" t="s">
        <v>680</v>
      </c>
      <c r="C221" t="s">
        <v>469</v>
      </c>
      <c r="E221">
        <v>-7.9253900000000002</v>
      </c>
      <c r="F221">
        <v>110.209823</v>
      </c>
      <c r="G221" t="s">
        <v>602</v>
      </c>
      <c r="H221" t="s">
        <v>40</v>
      </c>
      <c r="I221">
        <v>-7.9239439999999997</v>
      </c>
      <c r="J221">
        <v>110.210145</v>
      </c>
      <c r="K221">
        <v>2.0470000000000002</v>
      </c>
      <c r="L221">
        <v>44.731000000000002</v>
      </c>
      <c r="M221">
        <v>21.855</v>
      </c>
      <c r="N221" t="s">
        <v>31</v>
      </c>
      <c r="O221" t="s">
        <v>358</v>
      </c>
      <c r="P221">
        <v>18.242000000000001</v>
      </c>
      <c r="Q221">
        <v>26.489000000000001</v>
      </c>
      <c r="R221" s="2" t="s">
        <v>681</v>
      </c>
      <c r="S221" s="2" t="s">
        <v>604</v>
      </c>
      <c r="T221" s="2" t="s">
        <v>682</v>
      </c>
      <c r="U221" s="3" t="s">
        <v>353</v>
      </c>
      <c r="W221" t="str">
        <f>IF(LEFT(U221,1)="","",IF(ISNUMBER(SEARCH(LEFT(U221,1),"ABCDG")),"Y",IF(ISNUMBER(SEARCH(LEFT(U221,1),"EFH")),"T",IF(LEFT(U221,1)="I","cek",""))))</f>
        <v>Y</v>
      </c>
      <c r="X221" s="3" t="s">
        <v>348</v>
      </c>
      <c r="Y221" s="3"/>
      <c r="Z221" s="3" t="s">
        <v>478</v>
      </c>
    </row>
    <row r="222" spans="1:26" x14ac:dyDescent="0.3">
      <c r="A222">
        <v>1536</v>
      </c>
      <c r="B222" t="s">
        <v>479</v>
      </c>
      <c r="C222" t="s">
        <v>683</v>
      </c>
      <c r="E222">
        <v>-7.8231909999999996</v>
      </c>
      <c r="F222">
        <v>110.213644</v>
      </c>
      <c r="G222" t="s">
        <v>480</v>
      </c>
      <c r="H222" t="s">
        <v>40</v>
      </c>
      <c r="I222">
        <v>-7.8239679999999998</v>
      </c>
      <c r="J222">
        <v>110.211718</v>
      </c>
      <c r="K222">
        <v>2.8639999999999999</v>
      </c>
      <c r="L222">
        <v>34.768000000000001</v>
      </c>
      <c r="M222">
        <v>12.1401</v>
      </c>
      <c r="N222" t="s">
        <v>31</v>
      </c>
      <c r="O222" t="s">
        <v>358</v>
      </c>
      <c r="P222">
        <v>25.837</v>
      </c>
      <c r="Q222">
        <v>8.9309999999999992</v>
      </c>
      <c r="R222" s="2" t="s">
        <v>481</v>
      </c>
      <c r="S222" s="2" t="s">
        <v>482</v>
      </c>
      <c r="T222" s="2" t="s">
        <v>684</v>
      </c>
      <c r="U222" s="3" t="s">
        <v>353</v>
      </c>
      <c r="W222" t="str">
        <f>IF(LEFT(U222,1)="","",IF(ISNUMBER(SEARCH(LEFT(U222,1),"ABCDG")),"Y",IF(ISNUMBER(SEARCH(LEFT(U222,1),"EFH")),"T",IF(LEFT(U222,1)="I","cek",""))))</f>
        <v>Y</v>
      </c>
      <c r="X222" s="3" t="s">
        <v>348</v>
      </c>
      <c r="Y222" s="3"/>
      <c r="Z222" s="3" t="s">
        <v>478</v>
      </c>
    </row>
    <row r="223" spans="1:26" x14ac:dyDescent="0.3">
      <c r="A223">
        <v>2005</v>
      </c>
      <c r="B223" t="s">
        <v>489</v>
      </c>
      <c r="C223" t="s">
        <v>683</v>
      </c>
      <c r="E223">
        <v>-7.8231929999999998</v>
      </c>
      <c r="F223">
        <v>110.214551</v>
      </c>
      <c r="G223" t="s">
        <v>480</v>
      </c>
      <c r="H223" t="s">
        <v>40</v>
      </c>
      <c r="I223">
        <v>-7.8239679999999998</v>
      </c>
      <c r="J223">
        <v>110.211718</v>
      </c>
      <c r="K223">
        <v>4.0490000000000004</v>
      </c>
      <c r="L223">
        <v>33.695999999999998</v>
      </c>
      <c r="M223">
        <v>8.3214000000000006</v>
      </c>
      <c r="N223" t="s">
        <v>31</v>
      </c>
      <c r="O223" t="s">
        <v>358</v>
      </c>
      <c r="P223">
        <v>24.763999999999999</v>
      </c>
      <c r="Q223">
        <v>8.9309999999999992</v>
      </c>
      <c r="R223" s="2" t="s">
        <v>490</v>
      </c>
      <c r="S223" s="2" t="s">
        <v>482</v>
      </c>
      <c r="T223" s="2" t="s">
        <v>685</v>
      </c>
      <c r="U223" s="3" t="s">
        <v>353</v>
      </c>
      <c r="W223" t="str">
        <f>IF(LEFT(U223,1)="","",IF(ISNUMBER(SEARCH(LEFT(U223,1),"ABCDG")),"Y",IF(ISNUMBER(SEARCH(LEFT(U223,1),"EFH")),"T",IF(LEFT(U223,1)="I","cek",""))))</f>
        <v>Y</v>
      </c>
      <c r="X223" s="3" t="s">
        <v>348</v>
      </c>
      <c r="Y223" s="3"/>
      <c r="Z223" s="3" t="s">
        <v>478</v>
      </c>
    </row>
    <row r="224" spans="1:26" x14ac:dyDescent="0.3">
      <c r="A224">
        <v>4484</v>
      </c>
      <c r="B224" t="s">
        <v>79</v>
      </c>
      <c r="C224" t="s">
        <v>683</v>
      </c>
      <c r="D224" t="s">
        <v>80</v>
      </c>
      <c r="E224">
        <v>-7.8221759999999998</v>
      </c>
      <c r="F224">
        <v>110.156507</v>
      </c>
      <c r="G224" t="s">
        <v>81</v>
      </c>
      <c r="H224" t="s">
        <v>30</v>
      </c>
      <c r="I224">
        <v>-7.8249680000000001</v>
      </c>
      <c r="J224">
        <v>110.154332</v>
      </c>
      <c r="K224">
        <v>4.8860000000000001</v>
      </c>
      <c r="L224">
        <v>32.698999999999998</v>
      </c>
      <c r="M224">
        <v>6.6920999999999999</v>
      </c>
      <c r="N224" t="s">
        <v>31</v>
      </c>
      <c r="O224" t="s">
        <v>351</v>
      </c>
      <c r="P224">
        <v>31.347000000000001</v>
      </c>
      <c r="Q224">
        <v>1.353</v>
      </c>
      <c r="R224" s="2" t="s">
        <v>82</v>
      </c>
      <c r="S224" s="2" t="s">
        <v>83</v>
      </c>
      <c r="T224" s="2" t="s">
        <v>686</v>
      </c>
      <c r="U224" s="3" t="s">
        <v>35</v>
      </c>
      <c r="V224" s="3" t="s">
        <v>353</v>
      </c>
      <c r="W224" t="str">
        <f t="shared" si="3"/>
        <v>Y</v>
      </c>
      <c r="X224" s="3" t="s">
        <v>348</v>
      </c>
      <c r="Y224" s="3"/>
      <c r="Z224" s="3" t="s">
        <v>478</v>
      </c>
    </row>
    <row r="225" spans="1:26" x14ac:dyDescent="0.3">
      <c r="A225">
        <v>5481</v>
      </c>
      <c r="B225" t="s">
        <v>85</v>
      </c>
      <c r="C225" t="s">
        <v>683</v>
      </c>
      <c r="D225" t="s">
        <v>80</v>
      </c>
      <c r="E225">
        <v>-7.8221749999999997</v>
      </c>
      <c r="F225">
        <v>110.15560000000001</v>
      </c>
      <c r="G225" t="s">
        <v>81</v>
      </c>
      <c r="H225" t="s">
        <v>30</v>
      </c>
      <c r="I225">
        <v>-7.8249680000000001</v>
      </c>
      <c r="J225">
        <v>110.154332</v>
      </c>
      <c r="K225">
        <v>4.2380000000000004</v>
      </c>
      <c r="L225">
        <v>31.77</v>
      </c>
      <c r="M225">
        <v>7.4960000000000004</v>
      </c>
      <c r="N225" t="s">
        <v>31</v>
      </c>
      <c r="O225" t="s">
        <v>351</v>
      </c>
      <c r="P225">
        <v>30.417000000000002</v>
      </c>
      <c r="Q225">
        <v>1.353</v>
      </c>
      <c r="R225" s="2" t="s">
        <v>86</v>
      </c>
      <c r="S225" s="2" t="s">
        <v>83</v>
      </c>
      <c r="T225" s="2" t="s">
        <v>687</v>
      </c>
      <c r="U225" s="3" t="s">
        <v>35</v>
      </c>
      <c r="V225" s="3" t="s">
        <v>353</v>
      </c>
      <c r="W225" t="str">
        <f t="shared" si="3"/>
        <v>Y</v>
      </c>
      <c r="X225" s="3" t="s">
        <v>348</v>
      </c>
      <c r="Y225" s="3"/>
      <c r="Z225" s="3" t="s">
        <v>478</v>
      </c>
    </row>
    <row r="226" spans="1:26" x14ac:dyDescent="0.3">
      <c r="A226">
        <v>5878</v>
      </c>
      <c r="B226" t="s">
        <v>510</v>
      </c>
      <c r="C226" t="s">
        <v>683</v>
      </c>
      <c r="E226">
        <v>-7.8240970000000001</v>
      </c>
      <c r="F226">
        <v>110.21455</v>
      </c>
      <c r="G226" t="s">
        <v>480</v>
      </c>
      <c r="H226" t="s">
        <v>40</v>
      </c>
      <c r="I226">
        <v>-7.8239679999999998</v>
      </c>
      <c r="J226">
        <v>110.211718</v>
      </c>
      <c r="K226">
        <v>3.907</v>
      </c>
      <c r="L226">
        <v>34.734000000000002</v>
      </c>
      <c r="M226">
        <v>8.8911999999999995</v>
      </c>
      <c r="N226" t="s">
        <v>31</v>
      </c>
      <c r="O226" t="s">
        <v>358</v>
      </c>
      <c r="P226">
        <v>25.462</v>
      </c>
      <c r="Q226">
        <v>9.2720000000000002</v>
      </c>
      <c r="R226" s="2" t="s">
        <v>511</v>
      </c>
      <c r="S226" s="2" t="s">
        <v>482</v>
      </c>
      <c r="T226" s="2" t="s">
        <v>688</v>
      </c>
      <c r="U226" s="3" t="s">
        <v>353</v>
      </c>
      <c r="W226" t="str">
        <f>IF(LEFT(U226,1)="","",IF(ISNUMBER(SEARCH(LEFT(U226,1),"ABCDG")),"Y",IF(ISNUMBER(SEARCH(LEFT(U226,1),"EFH")),"T",IF(LEFT(U226,1)="I","cek",""))))</f>
        <v>Y</v>
      </c>
      <c r="X226" s="3" t="s">
        <v>348</v>
      </c>
      <c r="Y226" s="3"/>
      <c r="Z226" s="3" t="s">
        <v>478</v>
      </c>
    </row>
    <row r="227" spans="1:26" x14ac:dyDescent="0.3">
      <c r="A227">
        <v>6380</v>
      </c>
      <c r="B227" t="s">
        <v>689</v>
      </c>
      <c r="C227" t="s">
        <v>683</v>
      </c>
      <c r="D227" t="s">
        <v>690</v>
      </c>
      <c r="E227">
        <v>-7.7832699999999999</v>
      </c>
      <c r="F227">
        <v>110.14933000000001</v>
      </c>
      <c r="G227" t="s">
        <v>185</v>
      </c>
      <c r="H227" t="s">
        <v>40</v>
      </c>
      <c r="I227">
        <v>-7.7864170000000001</v>
      </c>
      <c r="J227">
        <v>110.147567</v>
      </c>
      <c r="K227">
        <v>4.9820000000000002</v>
      </c>
      <c r="L227">
        <v>157.73099999999999</v>
      </c>
      <c r="M227">
        <v>31.657299999999999</v>
      </c>
      <c r="N227" t="s">
        <v>31</v>
      </c>
      <c r="O227" t="s">
        <v>470</v>
      </c>
      <c r="R227" s="2" t="s">
        <v>691</v>
      </c>
      <c r="S227" s="2" t="s">
        <v>187</v>
      </c>
      <c r="T227" s="2" t="s">
        <v>692</v>
      </c>
      <c r="U227" s="3" t="s">
        <v>353</v>
      </c>
      <c r="W227" t="str">
        <f>IF(LEFT(U227,1)="","",IF(ISNUMBER(SEARCH(LEFT(U227,1),"ABCDG")),"Y",IF(ISNUMBER(SEARCH(LEFT(U227,1),"EFH")),"T",IF(LEFT(U227,1)="I","cek",""))))</f>
        <v>Y</v>
      </c>
      <c r="X227" s="3" t="s">
        <v>50</v>
      </c>
      <c r="Y227" s="3"/>
      <c r="Z227" s="3" t="s">
        <v>478</v>
      </c>
    </row>
    <row r="228" spans="1:26" x14ac:dyDescent="0.3">
      <c r="A228">
        <v>6574</v>
      </c>
      <c r="B228" t="s">
        <v>518</v>
      </c>
      <c r="C228" t="s">
        <v>683</v>
      </c>
      <c r="E228">
        <v>-7.8222870000000002</v>
      </c>
      <c r="F228">
        <v>110.213646</v>
      </c>
      <c r="G228" t="s">
        <v>480</v>
      </c>
      <c r="H228" t="s">
        <v>40</v>
      </c>
      <c r="I228">
        <v>-7.8239679999999998</v>
      </c>
      <c r="J228">
        <v>110.211718</v>
      </c>
      <c r="K228">
        <v>3.53</v>
      </c>
      <c r="L228">
        <v>35.034999999999997</v>
      </c>
      <c r="M228">
        <v>9.9244000000000003</v>
      </c>
      <c r="N228" t="s">
        <v>31</v>
      </c>
      <c r="O228" t="s">
        <v>358</v>
      </c>
      <c r="P228">
        <v>26.103999999999999</v>
      </c>
      <c r="Q228">
        <v>8.9309999999999992</v>
      </c>
      <c r="R228" s="2" t="s">
        <v>519</v>
      </c>
      <c r="S228" s="2" t="s">
        <v>482</v>
      </c>
      <c r="T228" s="2" t="s">
        <v>693</v>
      </c>
      <c r="U228" s="3" t="s">
        <v>353</v>
      </c>
      <c r="W228" t="str">
        <f>IF(LEFT(U228,1)="","",IF(ISNUMBER(SEARCH(LEFT(U228,1),"ABCDG")),"Y",IF(ISNUMBER(SEARCH(LEFT(U228,1),"EFH")),"T",IF(LEFT(U228,1)="I","cek",""))))</f>
        <v>Y</v>
      </c>
      <c r="X228" s="3" t="s">
        <v>348</v>
      </c>
      <c r="Y228" s="3"/>
      <c r="Z228" s="3" t="s">
        <v>478</v>
      </c>
    </row>
    <row r="229" spans="1:26" x14ac:dyDescent="0.3">
      <c r="A229">
        <v>6705</v>
      </c>
      <c r="B229" t="s">
        <v>694</v>
      </c>
      <c r="C229" t="s">
        <v>683</v>
      </c>
      <c r="E229">
        <v>-7.6947179999999999</v>
      </c>
      <c r="F229">
        <v>110.19393599999999</v>
      </c>
      <c r="G229" t="s">
        <v>695</v>
      </c>
      <c r="H229" t="s">
        <v>40</v>
      </c>
      <c r="I229">
        <v>-7.6937620000000004</v>
      </c>
      <c r="J229">
        <v>110.192578</v>
      </c>
      <c r="K229">
        <v>2.29</v>
      </c>
      <c r="L229">
        <v>72.114000000000004</v>
      </c>
      <c r="M229">
        <v>31.4848</v>
      </c>
      <c r="N229" t="s">
        <v>31</v>
      </c>
      <c r="O229" t="s">
        <v>358</v>
      </c>
      <c r="P229">
        <v>4.4690000000000003</v>
      </c>
      <c r="Q229">
        <v>67.644999999999996</v>
      </c>
      <c r="R229" s="2" t="s">
        <v>696</v>
      </c>
      <c r="S229" s="2" t="s">
        <v>697</v>
      </c>
      <c r="T229" s="2" t="s">
        <v>698</v>
      </c>
      <c r="U229" s="3" t="s">
        <v>353</v>
      </c>
      <c r="W229" t="str">
        <f>IF(LEFT(U229,1)="","",IF(ISNUMBER(SEARCH(LEFT(U229,1),"ABCDG")),"Y",IF(ISNUMBER(SEARCH(LEFT(U229,1),"EFH")),"T",IF(LEFT(U229,1)="I","cek",""))))</f>
        <v>Y</v>
      </c>
      <c r="X229" s="3" t="s">
        <v>348</v>
      </c>
      <c r="Y229" s="3"/>
      <c r="Z229" s="3" t="s">
        <v>478</v>
      </c>
    </row>
    <row r="230" spans="1:26" x14ac:dyDescent="0.3">
      <c r="A230">
        <v>7393</v>
      </c>
      <c r="B230" t="s">
        <v>102</v>
      </c>
      <c r="C230" t="s">
        <v>683</v>
      </c>
      <c r="D230" t="s">
        <v>80</v>
      </c>
      <c r="E230">
        <v>-7.8230789999999999</v>
      </c>
      <c r="F230">
        <v>110.155598</v>
      </c>
      <c r="G230" t="s">
        <v>81</v>
      </c>
      <c r="H230" t="s">
        <v>30</v>
      </c>
      <c r="I230">
        <v>-7.8249680000000001</v>
      </c>
      <c r="J230">
        <v>110.154332</v>
      </c>
      <c r="K230">
        <v>3.141</v>
      </c>
      <c r="L230">
        <v>32.843000000000004</v>
      </c>
      <c r="M230">
        <v>10.4574</v>
      </c>
      <c r="N230" t="s">
        <v>31</v>
      </c>
      <c r="O230" t="s">
        <v>351</v>
      </c>
      <c r="P230">
        <v>31.491</v>
      </c>
      <c r="Q230">
        <v>1.353</v>
      </c>
      <c r="R230" s="2" t="s">
        <v>103</v>
      </c>
      <c r="S230" s="2" t="s">
        <v>83</v>
      </c>
      <c r="T230" s="2" t="s">
        <v>699</v>
      </c>
      <c r="U230" s="3" t="s">
        <v>35</v>
      </c>
      <c r="V230" s="3" t="s">
        <v>353</v>
      </c>
      <c r="W230" t="str">
        <f t="shared" si="3"/>
        <v>Y</v>
      </c>
      <c r="X230" s="3" t="s">
        <v>348</v>
      </c>
      <c r="Y230" s="3"/>
      <c r="Z230" s="3" t="s">
        <v>478</v>
      </c>
    </row>
    <row r="231" spans="1:26" x14ac:dyDescent="0.3">
      <c r="A231">
        <v>7834</v>
      </c>
      <c r="B231" t="s">
        <v>108</v>
      </c>
      <c r="C231" t="s">
        <v>683</v>
      </c>
      <c r="D231" t="s">
        <v>109</v>
      </c>
      <c r="E231">
        <v>-7.766114</v>
      </c>
      <c r="F231">
        <v>110.16387400000001</v>
      </c>
      <c r="G231" t="s">
        <v>110</v>
      </c>
      <c r="H231" t="s">
        <v>40</v>
      </c>
      <c r="I231">
        <v>-7.7644149999999996</v>
      </c>
      <c r="J231">
        <v>110.16632300000001</v>
      </c>
      <c r="K231">
        <v>4.1120000000000001</v>
      </c>
      <c r="L231">
        <v>73.260000000000005</v>
      </c>
      <c r="M231">
        <v>17.816600000000001</v>
      </c>
      <c r="N231" t="s">
        <v>31</v>
      </c>
      <c r="O231" t="s">
        <v>346</v>
      </c>
      <c r="P231">
        <v>73.260000000000005</v>
      </c>
      <c r="Q231">
        <v>0</v>
      </c>
      <c r="R231" s="2" t="s">
        <v>111</v>
      </c>
      <c r="S231" s="2" t="s">
        <v>112</v>
      </c>
      <c r="T231" s="2" t="s">
        <v>700</v>
      </c>
      <c r="U231" s="3" t="s">
        <v>114</v>
      </c>
      <c r="V231" s="3" t="s">
        <v>115</v>
      </c>
      <c r="W231" t="str">
        <f t="shared" si="3"/>
        <v>Y</v>
      </c>
      <c r="X231" s="3" t="s">
        <v>348</v>
      </c>
      <c r="Y231" s="3"/>
      <c r="Z231" s="3" t="s">
        <v>478</v>
      </c>
    </row>
    <row r="232" spans="1:26" x14ac:dyDescent="0.3">
      <c r="A232">
        <v>7993</v>
      </c>
      <c r="B232" t="s">
        <v>532</v>
      </c>
      <c r="C232" t="s">
        <v>683</v>
      </c>
      <c r="E232">
        <v>-7.8213819999999998</v>
      </c>
      <c r="F232">
        <v>110.21364800000001</v>
      </c>
      <c r="G232" t="s">
        <v>480</v>
      </c>
      <c r="H232" t="s">
        <v>40</v>
      </c>
      <c r="I232">
        <v>-7.8239679999999998</v>
      </c>
      <c r="J232">
        <v>110.211718</v>
      </c>
      <c r="K232">
        <v>4.4550000000000001</v>
      </c>
      <c r="L232">
        <v>31.86</v>
      </c>
      <c r="M232">
        <v>7.1513</v>
      </c>
      <c r="N232" t="s">
        <v>31</v>
      </c>
      <c r="O232" t="s">
        <v>358</v>
      </c>
      <c r="P232">
        <v>27.983000000000001</v>
      </c>
      <c r="Q232">
        <v>3.8759999999999999</v>
      </c>
      <c r="R232" s="2" t="s">
        <v>533</v>
      </c>
      <c r="S232" s="2" t="s">
        <v>482</v>
      </c>
      <c r="T232" s="2" t="s">
        <v>701</v>
      </c>
      <c r="U232" s="3" t="s">
        <v>353</v>
      </c>
      <c r="W232" t="str">
        <f>IF(LEFT(U232,1)="","",IF(ISNUMBER(SEARCH(LEFT(U232,1),"ABCDG")),"Y",IF(ISNUMBER(SEARCH(LEFT(U232,1),"EFH")),"T",IF(LEFT(U232,1)="I","cek",""))))</f>
        <v>Y</v>
      </c>
      <c r="X232" s="3" t="s">
        <v>348</v>
      </c>
      <c r="Y232" s="3"/>
      <c r="Z232" s="3" t="s">
        <v>478</v>
      </c>
    </row>
    <row r="233" spans="1:26" x14ac:dyDescent="0.3">
      <c r="A233">
        <v>9017</v>
      </c>
      <c r="B233" t="s">
        <v>702</v>
      </c>
      <c r="C233" t="s">
        <v>683</v>
      </c>
      <c r="E233">
        <v>-7.7607429999999997</v>
      </c>
      <c r="F233">
        <v>110.192903</v>
      </c>
      <c r="G233" t="s">
        <v>703</v>
      </c>
      <c r="H233" t="s">
        <v>40</v>
      </c>
      <c r="I233">
        <v>-7.762232</v>
      </c>
      <c r="J233">
        <v>110.191306</v>
      </c>
      <c r="K233">
        <v>3.0139999999999998</v>
      </c>
      <c r="L233">
        <v>356.63799999999998</v>
      </c>
      <c r="M233">
        <v>118.34350000000001</v>
      </c>
      <c r="N233" t="s">
        <v>31</v>
      </c>
      <c r="O233" t="s">
        <v>358</v>
      </c>
      <c r="P233">
        <v>25.687000000000001</v>
      </c>
      <c r="Q233">
        <v>330.95100000000002</v>
      </c>
      <c r="R233" s="2" t="s">
        <v>704</v>
      </c>
      <c r="S233" s="2" t="s">
        <v>705</v>
      </c>
      <c r="T233" s="2" t="s">
        <v>706</v>
      </c>
      <c r="U233" s="3" t="s">
        <v>353</v>
      </c>
      <c r="W233" t="str">
        <f>IF(LEFT(U233,1)="","",IF(ISNUMBER(SEARCH(LEFT(U233,1),"ABCDG")),"Y",IF(ISNUMBER(SEARCH(LEFT(U233,1),"EFH")),"T",IF(LEFT(U233,1)="I","cek",""))))</f>
        <v>Y</v>
      </c>
      <c r="X233" s="3" t="s">
        <v>348</v>
      </c>
      <c r="Y233" s="3"/>
      <c r="Z233" s="3" t="s">
        <v>478</v>
      </c>
    </row>
    <row r="234" spans="1:26" x14ac:dyDescent="0.3">
      <c r="A234">
        <v>9358</v>
      </c>
      <c r="B234" t="s">
        <v>545</v>
      </c>
      <c r="C234" t="s">
        <v>683</v>
      </c>
      <c r="E234">
        <v>-7.8222880000000004</v>
      </c>
      <c r="F234">
        <v>110.214553</v>
      </c>
      <c r="G234" t="s">
        <v>480</v>
      </c>
      <c r="H234" t="s">
        <v>40</v>
      </c>
      <c r="I234">
        <v>-7.8239679999999998</v>
      </c>
      <c r="J234">
        <v>110.211718</v>
      </c>
      <c r="K234">
        <v>4.5449999999999999</v>
      </c>
      <c r="L234">
        <v>32.305999999999997</v>
      </c>
      <c r="M234">
        <v>7.1078999999999999</v>
      </c>
      <c r="N234" t="s">
        <v>31</v>
      </c>
      <c r="O234" t="s">
        <v>358</v>
      </c>
      <c r="P234">
        <v>25.574000000000002</v>
      </c>
      <c r="Q234">
        <v>6.7320000000000002</v>
      </c>
      <c r="R234" s="2" t="s">
        <v>546</v>
      </c>
      <c r="S234" s="2" t="s">
        <v>482</v>
      </c>
      <c r="T234" s="2" t="s">
        <v>707</v>
      </c>
      <c r="U234" s="3" t="s">
        <v>353</v>
      </c>
      <c r="W234" t="str">
        <f>IF(LEFT(U234,1)="","",IF(ISNUMBER(SEARCH(LEFT(U234,1),"ABCDG")),"Y",IF(ISNUMBER(SEARCH(LEFT(U234,1),"EFH")),"T",IF(LEFT(U234,1)="I","cek",""))))</f>
        <v>Y</v>
      </c>
      <c r="X234" s="3" t="s">
        <v>348</v>
      </c>
      <c r="Y234" s="3"/>
      <c r="Z234" s="3" t="s">
        <v>478</v>
      </c>
    </row>
    <row r="235" spans="1:26" x14ac:dyDescent="0.3">
      <c r="A235">
        <v>9702</v>
      </c>
      <c r="B235" t="s">
        <v>146</v>
      </c>
      <c r="C235" t="s">
        <v>683</v>
      </c>
      <c r="D235" t="s">
        <v>147</v>
      </c>
      <c r="E235">
        <v>-7.8211810000000002</v>
      </c>
      <c r="F235">
        <v>110.11206799999999</v>
      </c>
      <c r="G235" t="s">
        <v>148</v>
      </c>
      <c r="H235" t="s">
        <v>40</v>
      </c>
      <c r="I235">
        <v>-7.819909</v>
      </c>
      <c r="J235">
        <v>110.112674</v>
      </c>
      <c r="K235">
        <v>1.9470000000000001</v>
      </c>
      <c r="L235">
        <v>33.704000000000001</v>
      </c>
      <c r="M235">
        <v>17.314</v>
      </c>
      <c r="N235" t="s">
        <v>31</v>
      </c>
      <c r="O235" t="s">
        <v>346</v>
      </c>
      <c r="P235">
        <v>33.704000000000001</v>
      </c>
      <c r="Q235">
        <v>0</v>
      </c>
      <c r="R235" s="2" t="s">
        <v>149</v>
      </c>
      <c r="S235" s="2" t="s">
        <v>150</v>
      </c>
      <c r="T235" s="2" t="s">
        <v>708</v>
      </c>
      <c r="U235" s="3" t="s">
        <v>152</v>
      </c>
      <c r="V235" s="3"/>
      <c r="W235" t="str">
        <f t="shared" si="3"/>
        <v>T</v>
      </c>
      <c r="X235" s="3" t="s">
        <v>348</v>
      </c>
      <c r="Y235" s="3"/>
      <c r="Z235" s="3" t="s">
        <v>478</v>
      </c>
    </row>
    <row r="236" spans="1:26" x14ac:dyDescent="0.3">
      <c r="A236">
        <v>10545</v>
      </c>
      <c r="B236" t="s">
        <v>162</v>
      </c>
      <c r="C236" t="s">
        <v>683</v>
      </c>
      <c r="D236" t="s">
        <v>163</v>
      </c>
      <c r="E236">
        <v>-7.8031740000000003</v>
      </c>
      <c r="F236">
        <v>110.152011</v>
      </c>
      <c r="G236" t="s">
        <v>164</v>
      </c>
      <c r="H236" t="s">
        <v>40</v>
      </c>
      <c r="I236">
        <v>-7.8054230000000002</v>
      </c>
      <c r="J236">
        <v>110.150704</v>
      </c>
      <c r="K236">
        <v>3.5920000000000001</v>
      </c>
      <c r="L236">
        <v>39.106999999999999</v>
      </c>
      <c r="M236">
        <v>10.887600000000001</v>
      </c>
      <c r="N236" t="s">
        <v>31</v>
      </c>
      <c r="O236" t="s">
        <v>346</v>
      </c>
      <c r="P236">
        <v>39.106999999999999</v>
      </c>
      <c r="Q236">
        <v>0</v>
      </c>
      <c r="R236" s="2" t="s">
        <v>165</v>
      </c>
      <c r="S236" s="2" t="s">
        <v>166</v>
      </c>
      <c r="T236" s="2" t="s">
        <v>709</v>
      </c>
      <c r="U236" s="3" t="s">
        <v>115</v>
      </c>
      <c r="V236" s="3" t="s">
        <v>152</v>
      </c>
      <c r="W236" t="str">
        <f t="shared" si="3"/>
        <v>T</v>
      </c>
      <c r="X236" s="3" t="s">
        <v>348</v>
      </c>
      <c r="Y236" s="3"/>
      <c r="Z236" s="3" t="s">
        <v>478</v>
      </c>
    </row>
    <row r="237" spans="1:26" x14ac:dyDescent="0.3">
      <c r="A237">
        <v>10663</v>
      </c>
      <c r="B237" t="s">
        <v>710</v>
      </c>
      <c r="C237" t="s">
        <v>683</v>
      </c>
      <c r="E237">
        <v>-7.8286179999999996</v>
      </c>
      <c r="F237">
        <v>110.213634</v>
      </c>
      <c r="G237" t="s">
        <v>474</v>
      </c>
      <c r="H237" t="s">
        <v>40</v>
      </c>
      <c r="I237">
        <v>-7.8276050000000001</v>
      </c>
      <c r="J237">
        <v>110.213348</v>
      </c>
      <c r="K237">
        <v>1.454</v>
      </c>
      <c r="L237">
        <v>30.966999999999999</v>
      </c>
      <c r="M237">
        <v>21.3018</v>
      </c>
      <c r="N237" t="s">
        <v>31</v>
      </c>
      <c r="O237" t="s">
        <v>358</v>
      </c>
      <c r="P237">
        <v>3.6309999999999998</v>
      </c>
      <c r="Q237">
        <v>27.335999999999999</v>
      </c>
      <c r="R237" s="2" t="s">
        <v>711</v>
      </c>
      <c r="S237" s="2" t="s">
        <v>476</v>
      </c>
      <c r="T237" s="2" t="s">
        <v>712</v>
      </c>
      <c r="U237" s="3" t="s">
        <v>353</v>
      </c>
      <c r="W237" t="str">
        <f>IF(LEFT(U237,1)="","",IF(ISNUMBER(SEARCH(LEFT(U237,1),"ABCDG")),"Y",IF(ISNUMBER(SEARCH(LEFT(U237,1),"EFH")),"T",IF(LEFT(U237,1)="I","cek",""))))</f>
        <v>Y</v>
      </c>
      <c r="X237" s="3" t="s">
        <v>348</v>
      </c>
      <c r="Y237" s="3"/>
      <c r="Z237" s="3" t="s">
        <v>478</v>
      </c>
    </row>
    <row r="238" spans="1:26" x14ac:dyDescent="0.3">
      <c r="A238">
        <v>11746</v>
      </c>
      <c r="B238" t="s">
        <v>176</v>
      </c>
      <c r="C238" t="s">
        <v>683</v>
      </c>
      <c r="D238" t="s">
        <v>177</v>
      </c>
      <c r="E238">
        <v>-7.8139409999999998</v>
      </c>
      <c r="F238">
        <v>110.11027</v>
      </c>
      <c r="G238" t="s">
        <v>178</v>
      </c>
      <c r="H238" t="s">
        <v>40</v>
      </c>
      <c r="I238">
        <v>-7.8121790000000004</v>
      </c>
      <c r="J238">
        <v>110.11325600000001</v>
      </c>
      <c r="K238">
        <v>4.7830000000000004</v>
      </c>
      <c r="L238">
        <v>35.868000000000002</v>
      </c>
      <c r="M238">
        <v>7.4991000000000003</v>
      </c>
      <c r="N238" t="s">
        <v>31</v>
      </c>
      <c r="O238" t="s">
        <v>346</v>
      </c>
      <c r="P238">
        <v>35.868000000000002</v>
      </c>
      <c r="Q238">
        <v>0</v>
      </c>
      <c r="R238" s="2" t="s">
        <v>179</v>
      </c>
      <c r="S238" s="2" t="s">
        <v>180</v>
      </c>
      <c r="T238" s="2" t="s">
        <v>713</v>
      </c>
      <c r="U238" s="3" t="s">
        <v>35</v>
      </c>
      <c r="V238" s="3"/>
      <c r="W238" t="str">
        <f t="shared" si="3"/>
        <v>Y</v>
      </c>
      <c r="X238" s="3" t="s">
        <v>348</v>
      </c>
      <c r="Y238" s="3"/>
      <c r="Z238" s="3" t="s">
        <v>478</v>
      </c>
    </row>
    <row r="239" spans="1:26" x14ac:dyDescent="0.3">
      <c r="A239">
        <v>11859</v>
      </c>
      <c r="B239" t="s">
        <v>714</v>
      </c>
      <c r="C239" t="s">
        <v>683</v>
      </c>
      <c r="E239">
        <v>-7.7616490000000002</v>
      </c>
      <c r="F239">
        <v>110.193809</v>
      </c>
      <c r="G239" t="s">
        <v>703</v>
      </c>
      <c r="H239" t="s">
        <v>40</v>
      </c>
      <c r="I239">
        <v>-7.762232</v>
      </c>
      <c r="J239">
        <v>110.191306</v>
      </c>
      <c r="K239">
        <v>3.5419999999999998</v>
      </c>
      <c r="L239">
        <v>357.5</v>
      </c>
      <c r="M239">
        <v>100.93519999999999</v>
      </c>
      <c r="N239" t="s">
        <v>31</v>
      </c>
      <c r="O239" t="s">
        <v>358</v>
      </c>
      <c r="P239">
        <v>23.344999999999999</v>
      </c>
      <c r="Q239">
        <v>334.154</v>
      </c>
      <c r="R239" s="2" t="s">
        <v>715</v>
      </c>
      <c r="S239" s="2" t="s">
        <v>705</v>
      </c>
      <c r="T239" s="2" t="s">
        <v>716</v>
      </c>
      <c r="U239" s="3" t="s">
        <v>353</v>
      </c>
      <c r="W239" t="str">
        <f>IF(LEFT(U239,1)="","",IF(ISNUMBER(SEARCH(LEFT(U239,1),"ABCDG")),"Y",IF(ISNUMBER(SEARCH(LEFT(U239,1),"EFH")),"T",IF(LEFT(U239,1)="I","cek",""))))</f>
        <v>Y</v>
      </c>
      <c r="X239" s="3" t="s">
        <v>348</v>
      </c>
      <c r="Y239" s="3"/>
      <c r="Z239" s="3" t="s">
        <v>478</v>
      </c>
    </row>
    <row r="240" spans="1:26" x14ac:dyDescent="0.3">
      <c r="A240">
        <v>12710</v>
      </c>
      <c r="B240" t="s">
        <v>183</v>
      </c>
      <c r="C240" t="s">
        <v>683</v>
      </c>
      <c r="D240" t="s">
        <v>184</v>
      </c>
      <c r="E240">
        <v>-7.7895979999999998</v>
      </c>
      <c r="F240">
        <v>110.147503</v>
      </c>
      <c r="G240" t="s">
        <v>185</v>
      </c>
      <c r="H240" t="s">
        <v>40</v>
      </c>
      <c r="I240">
        <v>-7.7864170000000001</v>
      </c>
      <c r="J240">
        <v>110.147567</v>
      </c>
      <c r="K240">
        <v>4.3959999999999999</v>
      </c>
      <c r="L240">
        <v>30.626000000000001</v>
      </c>
      <c r="M240">
        <v>6.9667000000000003</v>
      </c>
      <c r="N240" t="s">
        <v>31</v>
      </c>
      <c r="O240" t="s">
        <v>346</v>
      </c>
      <c r="P240">
        <v>30.626000000000001</v>
      </c>
      <c r="Q240">
        <v>0</v>
      </c>
      <c r="R240" s="2" t="s">
        <v>186</v>
      </c>
      <c r="S240" s="2" t="s">
        <v>187</v>
      </c>
      <c r="T240" s="2" t="s">
        <v>717</v>
      </c>
      <c r="U240" s="3" t="s">
        <v>152</v>
      </c>
      <c r="V240" s="3"/>
      <c r="W240" t="str">
        <f t="shared" si="3"/>
        <v>T</v>
      </c>
      <c r="X240" s="3" t="s">
        <v>348</v>
      </c>
      <c r="Y240" s="3"/>
      <c r="Z240" s="3" t="s">
        <v>478</v>
      </c>
    </row>
    <row r="241" spans="1:26" x14ac:dyDescent="0.3">
      <c r="A241">
        <v>13140</v>
      </c>
      <c r="B241" t="s">
        <v>601</v>
      </c>
      <c r="C241" t="s">
        <v>683</v>
      </c>
      <c r="E241">
        <v>-7.9235790000000001</v>
      </c>
      <c r="F241">
        <v>110.20891899999999</v>
      </c>
      <c r="G241" t="s">
        <v>602</v>
      </c>
      <c r="H241" t="s">
        <v>40</v>
      </c>
      <c r="I241">
        <v>-7.9239439999999997</v>
      </c>
      <c r="J241">
        <v>110.210145</v>
      </c>
      <c r="K241">
        <v>1.7629999999999999</v>
      </c>
      <c r="L241">
        <v>31.792999999999999</v>
      </c>
      <c r="M241">
        <v>18.030899999999999</v>
      </c>
      <c r="N241" t="s">
        <v>31</v>
      </c>
      <c r="O241" t="s">
        <v>358</v>
      </c>
      <c r="P241">
        <v>26.687999999999999</v>
      </c>
      <c r="Q241">
        <v>5.1050000000000004</v>
      </c>
      <c r="R241" s="2" t="s">
        <v>603</v>
      </c>
      <c r="S241" s="2" t="s">
        <v>604</v>
      </c>
      <c r="T241" s="2" t="s">
        <v>718</v>
      </c>
      <c r="U241" s="3" t="s">
        <v>353</v>
      </c>
      <c r="W241" t="str">
        <f>IF(LEFT(U241,1)="","",IF(ISNUMBER(SEARCH(LEFT(U241,1),"ABCDG")),"Y",IF(ISNUMBER(SEARCH(LEFT(U241,1),"EFH")),"T",IF(LEFT(U241,1)="I","cek",""))))</f>
        <v>Y</v>
      </c>
      <c r="X241" s="3" t="s">
        <v>348</v>
      </c>
      <c r="Y241" s="3"/>
      <c r="Z241" s="3" t="s">
        <v>478</v>
      </c>
    </row>
    <row r="242" spans="1:26" x14ac:dyDescent="0.3">
      <c r="A242">
        <v>13173</v>
      </c>
      <c r="B242" t="s">
        <v>189</v>
      </c>
      <c r="C242" t="s">
        <v>683</v>
      </c>
      <c r="D242" t="s">
        <v>190</v>
      </c>
      <c r="E242">
        <v>-7.6928340000000004</v>
      </c>
      <c r="F242">
        <v>110.154951</v>
      </c>
      <c r="G242" t="s">
        <v>191</v>
      </c>
      <c r="H242" t="s">
        <v>30</v>
      </c>
      <c r="I242">
        <v>-7.691147</v>
      </c>
      <c r="J242">
        <v>110.154083</v>
      </c>
      <c r="K242">
        <v>2.621</v>
      </c>
      <c r="L242">
        <v>38.073</v>
      </c>
      <c r="M242">
        <v>14.5265</v>
      </c>
      <c r="N242" t="s">
        <v>31</v>
      </c>
      <c r="O242" t="s">
        <v>346</v>
      </c>
      <c r="P242">
        <v>38.073</v>
      </c>
      <c r="Q242">
        <v>0</v>
      </c>
      <c r="R242" s="2" t="s">
        <v>192</v>
      </c>
      <c r="S242" s="2" t="s">
        <v>193</v>
      </c>
      <c r="T242" s="2" t="s">
        <v>719</v>
      </c>
      <c r="U242" s="3" t="s">
        <v>152</v>
      </c>
      <c r="V242" s="3"/>
      <c r="W242" t="str">
        <f t="shared" si="3"/>
        <v>T</v>
      </c>
      <c r="X242" s="3" t="s">
        <v>348</v>
      </c>
      <c r="Y242" s="3"/>
      <c r="Z242" s="3" t="s">
        <v>478</v>
      </c>
    </row>
    <row r="243" spans="1:26" x14ac:dyDescent="0.3">
      <c r="A243">
        <v>13219</v>
      </c>
      <c r="B243" t="s">
        <v>720</v>
      </c>
      <c r="C243" t="s">
        <v>683</v>
      </c>
      <c r="E243">
        <v>-7.6938120000000003</v>
      </c>
      <c r="F243">
        <v>110.193031</v>
      </c>
      <c r="G243" t="s">
        <v>695</v>
      </c>
      <c r="H243" t="s">
        <v>40</v>
      </c>
      <c r="I243">
        <v>-7.6937620000000004</v>
      </c>
      <c r="J243">
        <v>110.192578</v>
      </c>
      <c r="K243">
        <v>0.627</v>
      </c>
      <c r="L243">
        <v>72.813999999999993</v>
      </c>
      <c r="M243">
        <v>116.0421</v>
      </c>
      <c r="N243" t="s">
        <v>31</v>
      </c>
      <c r="O243" t="s">
        <v>358</v>
      </c>
      <c r="P243">
        <v>1.968</v>
      </c>
      <c r="Q243">
        <v>70.846999999999994</v>
      </c>
      <c r="R243" s="2" t="s">
        <v>721</v>
      </c>
      <c r="S243" s="2" t="s">
        <v>697</v>
      </c>
      <c r="T243" s="2" t="s">
        <v>722</v>
      </c>
      <c r="U243" s="3" t="s">
        <v>353</v>
      </c>
      <c r="W243" t="str">
        <f>IF(LEFT(U243,1)="","",IF(ISNUMBER(SEARCH(LEFT(U243,1),"ABCDG")),"Y",IF(ISNUMBER(SEARCH(LEFT(U243,1),"EFH")),"T",IF(LEFT(U243,1)="I","cek",""))))</f>
        <v>Y</v>
      </c>
      <c r="X243" s="3" t="s">
        <v>348</v>
      </c>
      <c r="Y243" s="3"/>
      <c r="Z243" s="3" t="s">
        <v>478</v>
      </c>
    </row>
    <row r="244" spans="1:26" x14ac:dyDescent="0.3">
      <c r="A244">
        <v>13328</v>
      </c>
      <c r="B244" t="s">
        <v>723</v>
      </c>
      <c r="C244" t="s">
        <v>683</v>
      </c>
      <c r="E244">
        <v>-7.7905170000000004</v>
      </c>
      <c r="F244">
        <v>110.154757</v>
      </c>
      <c r="G244" t="s">
        <v>724</v>
      </c>
      <c r="H244" t="s">
        <v>40</v>
      </c>
      <c r="I244">
        <v>-7.7905660000000001</v>
      </c>
      <c r="J244">
        <v>110.152157</v>
      </c>
      <c r="K244">
        <v>3.5840000000000001</v>
      </c>
      <c r="L244">
        <v>190.3</v>
      </c>
      <c r="M244">
        <v>53.100999999999999</v>
      </c>
      <c r="N244" t="s">
        <v>31</v>
      </c>
      <c r="O244" t="s">
        <v>358</v>
      </c>
      <c r="P244">
        <v>15.507999999999999</v>
      </c>
      <c r="Q244">
        <v>174.79300000000001</v>
      </c>
      <c r="R244" s="2" t="s">
        <v>725</v>
      </c>
      <c r="S244" s="2" t="s">
        <v>726</v>
      </c>
      <c r="T244" s="2" t="s">
        <v>727</v>
      </c>
      <c r="U244" s="3" t="s">
        <v>353</v>
      </c>
      <c r="W244" t="str">
        <f>IF(LEFT(U244,1)="","",IF(ISNUMBER(SEARCH(LEFT(U244,1),"ABCDG")),"Y",IF(ISNUMBER(SEARCH(LEFT(U244,1),"EFH")),"T",IF(LEFT(U244,1)="I","cek",""))))</f>
        <v>Y</v>
      </c>
      <c r="X244" s="3" t="s">
        <v>348</v>
      </c>
      <c r="Y244" s="3"/>
      <c r="Z244" s="3" t="s">
        <v>478</v>
      </c>
    </row>
    <row r="245" spans="1:26" x14ac:dyDescent="0.3">
      <c r="A245">
        <v>13621</v>
      </c>
      <c r="B245" t="s">
        <v>195</v>
      </c>
      <c r="C245" t="s">
        <v>683</v>
      </c>
      <c r="D245" t="s">
        <v>196</v>
      </c>
      <c r="E245">
        <v>-7.7317910000000003</v>
      </c>
      <c r="F245">
        <v>110.188425</v>
      </c>
      <c r="G245" t="s">
        <v>197</v>
      </c>
      <c r="H245" t="s">
        <v>40</v>
      </c>
      <c r="I245">
        <v>-7.7336369999999999</v>
      </c>
      <c r="J245">
        <v>110.186243</v>
      </c>
      <c r="K245">
        <v>3.944</v>
      </c>
      <c r="L245">
        <v>32.634</v>
      </c>
      <c r="M245">
        <v>8.2745999999999995</v>
      </c>
      <c r="N245" t="s">
        <v>31</v>
      </c>
      <c r="O245" t="s">
        <v>346</v>
      </c>
      <c r="P245">
        <v>32.634</v>
      </c>
      <c r="Q245">
        <v>0</v>
      </c>
      <c r="R245" s="2" t="s">
        <v>198</v>
      </c>
      <c r="S245" s="2" t="s">
        <v>199</v>
      </c>
      <c r="T245" s="2" t="s">
        <v>728</v>
      </c>
      <c r="U245" s="3" t="s">
        <v>152</v>
      </c>
      <c r="V245" s="3"/>
      <c r="W245" t="str">
        <f t="shared" si="3"/>
        <v>T</v>
      </c>
      <c r="X245" s="3" t="s">
        <v>348</v>
      </c>
      <c r="Y245" s="3"/>
      <c r="Z245" s="3" t="s">
        <v>478</v>
      </c>
    </row>
    <row r="246" spans="1:26" x14ac:dyDescent="0.3">
      <c r="A246">
        <v>13764</v>
      </c>
      <c r="B246" t="s">
        <v>729</v>
      </c>
      <c r="C246" t="s">
        <v>683</v>
      </c>
      <c r="D246" t="s">
        <v>730</v>
      </c>
      <c r="E246">
        <v>-7.7029589999999999</v>
      </c>
      <c r="F246">
        <v>110.24923</v>
      </c>
      <c r="G246" t="s">
        <v>731</v>
      </c>
      <c r="H246" t="s">
        <v>40</v>
      </c>
      <c r="I246">
        <v>-7.7055369999999996</v>
      </c>
      <c r="J246">
        <v>110.251013</v>
      </c>
      <c r="K246">
        <v>4.3289999999999997</v>
      </c>
      <c r="L246">
        <v>89.947000000000003</v>
      </c>
      <c r="M246">
        <v>20.7776</v>
      </c>
      <c r="N246" t="s">
        <v>31</v>
      </c>
      <c r="O246" t="s">
        <v>470</v>
      </c>
      <c r="R246" s="2" t="s">
        <v>732</v>
      </c>
      <c r="S246" s="2" t="s">
        <v>733</v>
      </c>
      <c r="T246" s="2" t="s">
        <v>734</v>
      </c>
      <c r="U246" s="3" t="s">
        <v>353</v>
      </c>
      <c r="V246" s="3"/>
      <c r="W246" t="str">
        <f t="shared" si="3"/>
        <v>Y</v>
      </c>
      <c r="X246" s="3" t="s">
        <v>50</v>
      </c>
      <c r="Y246" s="3"/>
      <c r="Z246" s="3" t="s">
        <v>478</v>
      </c>
    </row>
    <row r="247" spans="1:26" x14ac:dyDescent="0.3">
      <c r="A247">
        <v>13946</v>
      </c>
      <c r="B247" t="s">
        <v>201</v>
      </c>
      <c r="C247" t="s">
        <v>683</v>
      </c>
      <c r="D247" t="s">
        <v>202</v>
      </c>
      <c r="E247">
        <v>-7.7552830000000004</v>
      </c>
      <c r="F247">
        <v>110.175684</v>
      </c>
      <c r="G247" t="s">
        <v>203</v>
      </c>
      <c r="H247" t="s">
        <v>40</v>
      </c>
      <c r="I247">
        <v>-7.754016</v>
      </c>
      <c r="J247">
        <v>110.176027</v>
      </c>
      <c r="K247">
        <v>1.8140000000000001</v>
      </c>
      <c r="L247">
        <v>60.933</v>
      </c>
      <c r="M247">
        <v>33.589700000000001</v>
      </c>
      <c r="N247" t="s">
        <v>31</v>
      </c>
      <c r="O247" t="s">
        <v>346</v>
      </c>
      <c r="P247">
        <v>60.933</v>
      </c>
      <c r="Q247">
        <v>0</v>
      </c>
      <c r="R247" s="2" t="s">
        <v>204</v>
      </c>
      <c r="S247" s="2" t="s">
        <v>205</v>
      </c>
      <c r="T247" s="2" t="s">
        <v>735</v>
      </c>
      <c r="U247" s="3" t="s">
        <v>152</v>
      </c>
      <c r="V247" s="3"/>
      <c r="W247" t="str">
        <f t="shared" si="3"/>
        <v>T</v>
      </c>
      <c r="X247" s="3" t="s">
        <v>348</v>
      </c>
      <c r="Y247" s="3"/>
      <c r="Z247" s="3" t="s">
        <v>478</v>
      </c>
    </row>
    <row r="248" spans="1:26" x14ac:dyDescent="0.3">
      <c r="A248">
        <v>14598</v>
      </c>
      <c r="B248" t="s">
        <v>219</v>
      </c>
      <c r="C248" t="s">
        <v>683</v>
      </c>
      <c r="D248" t="s">
        <v>196</v>
      </c>
      <c r="E248">
        <v>-7.7281700000000004</v>
      </c>
      <c r="F248">
        <v>110.186618</v>
      </c>
      <c r="G248" t="s">
        <v>220</v>
      </c>
      <c r="H248" t="s">
        <v>40</v>
      </c>
      <c r="I248">
        <v>-7.7280069999999998</v>
      </c>
      <c r="J248">
        <v>110.18629300000001</v>
      </c>
      <c r="K248">
        <v>0.625</v>
      </c>
      <c r="L248">
        <v>51.320999999999998</v>
      </c>
      <c r="M248">
        <v>82.112899999999996</v>
      </c>
      <c r="N248" t="s">
        <v>31</v>
      </c>
      <c r="O248" t="s">
        <v>346</v>
      </c>
      <c r="P248">
        <v>51.320999999999998</v>
      </c>
      <c r="Q248">
        <v>0</v>
      </c>
      <c r="R248" s="2" t="s">
        <v>221</v>
      </c>
      <c r="S248" s="2" t="s">
        <v>222</v>
      </c>
      <c r="T248" s="2" t="s">
        <v>736</v>
      </c>
      <c r="U248" s="3" t="s">
        <v>878</v>
      </c>
      <c r="V248" s="3"/>
      <c r="W248" t="str">
        <f t="shared" si="3"/>
        <v>T</v>
      </c>
      <c r="X248" s="3" t="s">
        <v>50</v>
      </c>
      <c r="Y248" s="3"/>
      <c r="Z248" s="3" t="s">
        <v>478</v>
      </c>
    </row>
    <row r="249" spans="1:26" x14ac:dyDescent="0.3">
      <c r="A249">
        <v>14990</v>
      </c>
      <c r="B249" t="s">
        <v>737</v>
      </c>
      <c r="C249" t="s">
        <v>683</v>
      </c>
      <c r="E249">
        <v>-7.7670830000000004</v>
      </c>
      <c r="F249">
        <v>110.19742599999999</v>
      </c>
      <c r="G249" t="s">
        <v>132</v>
      </c>
      <c r="H249" t="s">
        <v>40</v>
      </c>
      <c r="I249">
        <v>-7.768872</v>
      </c>
      <c r="J249">
        <v>110.200163</v>
      </c>
      <c r="K249">
        <v>4.5110000000000001</v>
      </c>
      <c r="L249">
        <v>43.712000000000003</v>
      </c>
      <c r="M249">
        <v>9.6902000000000008</v>
      </c>
      <c r="N249" t="s">
        <v>31</v>
      </c>
      <c r="O249" t="s">
        <v>358</v>
      </c>
      <c r="P249">
        <v>7.9509999999999996</v>
      </c>
      <c r="Q249">
        <v>35.761000000000003</v>
      </c>
      <c r="R249" s="2" t="s">
        <v>738</v>
      </c>
      <c r="S249" s="2" t="s">
        <v>739</v>
      </c>
      <c r="T249" s="2" t="s">
        <v>740</v>
      </c>
      <c r="U249" s="3" t="s">
        <v>353</v>
      </c>
      <c r="W249" t="str">
        <f>IF(LEFT(U249,1)="","",IF(ISNUMBER(SEARCH(LEFT(U249,1),"ABCDG")),"Y",IF(ISNUMBER(SEARCH(LEFT(U249,1),"EFH")),"T",IF(LEFT(U249,1)="I","cek",""))))</f>
        <v>Y</v>
      </c>
      <c r="X249" s="3" t="s">
        <v>348</v>
      </c>
      <c r="Y249" s="3"/>
      <c r="Z249" s="3" t="s">
        <v>478</v>
      </c>
    </row>
    <row r="250" spans="1:26" x14ac:dyDescent="0.3">
      <c r="A250">
        <v>15271</v>
      </c>
      <c r="B250" t="s">
        <v>613</v>
      </c>
      <c r="C250" t="s">
        <v>683</v>
      </c>
      <c r="E250">
        <v>-7.9226729999999996</v>
      </c>
      <c r="F250">
        <v>110.20801400000001</v>
      </c>
      <c r="G250" t="s">
        <v>602</v>
      </c>
      <c r="H250" t="s">
        <v>40</v>
      </c>
      <c r="I250">
        <v>-7.9239439999999997</v>
      </c>
      <c r="J250">
        <v>110.210145</v>
      </c>
      <c r="K250">
        <v>3.4220000000000002</v>
      </c>
      <c r="L250">
        <v>32.374000000000002</v>
      </c>
      <c r="M250">
        <v>9.4591999999999992</v>
      </c>
      <c r="N250" t="s">
        <v>31</v>
      </c>
      <c r="O250" t="s">
        <v>358</v>
      </c>
      <c r="P250">
        <v>24.137</v>
      </c>
      <c r="Q250">
        <v>8.2370000000000001</v>
      </c>
      <c r="R250" s="2" t="s">
        <v>614</v>
      </c>
      <c r="S250" s="2" t="s">
        <v>604</v>
      </c>
      <c r="T250" s="2" t="s">
        <v>741</v>
      </c>
      <c r="U250" s="3" t="s">
        <v>353</v>
      </c>
      <c r="W250" t="str">
        <f>IF(LEFT(U250,1)="","",IF(ISNUMBER(SEARCH(LEFT(U250,1),"ABCDG")),"Y",IF(ISNUMBER(SEARCH(LEFT(U250,1),"EFH")),"T",IF(LEFT(U250,1)="I","cek",""))))</f>
        <v>Y</v>
      </c>
      <c r="X250" s="3" t="s">
        <v>348</v>
      </c>
      <c r="Y250" s="3"/>
      <c r="Z250" s="3" t="s">
        <v>478</v>
      </c>
    </row>
    <row r="251" spans="1:26" x14ac:dyDescent="0.3">
      <c r="A251">
        <v>15645</v>
      </c>
      <c r="B251" t="s">
        <v>619</v>
      </c>
      <c r="C251" t="s">
        <v>683</v>
      </c>
      <c r="E251">
        <v>-7.9226749999999999</v>
      </c>
      <c r="F251">
        <v>110.208921</v>
      </c>
      <c r="G251" t="s">
        <v>602</v>
      </c>
      <c r="H251" t="s">
        <v>40</v>
      </c>
      <c r="I251">
        <v>-7.9239439999999997</v>
      </c>
      <c r="J251">
        <v>110.210145</v>
      </c>
      <c r="K251">
        <v>2.4340000000000002</v>
      </c>
      <c r="L251">
        <v>31.192</v>
      </c>
      <c r="M251">
        <v>12.815</v>
      </c>
      <c r="N251" t="s">
        <v>31</v>
      </c>
      <c r="O251" t="s">
        <v>358</v>
      </c>
      <c r="P251">
        <v>25.393999999999998</v>
      </c>
      <c r="Q251">
        <v>5.7990000000000004</v>
      </c>
      <c r="R251" s="2" t="s">
        <v>620</v>
      </c>
      <c r="S251" s="2" t="s">
        <v>604</v>
      </c>
      <c r="T251" s="2" t="s">
        <v>742</v>
      </c>
      <c r="U251" s="3" t="s">
        <v>353</v>
      </c>
      <c r="W251" t="str">
        <f>IF(LEFT(U251,1)="","",IF(ISNUMBER(SEARCH(LEFT(U251,1),"ABCDG")),"Y",IF(ISNUMBER(SEARCH(LEFT(U251,1),"EFH")),"T",IF(LEFT(U251,1)="I","cek",""))))</f>
        <v>Y</v>
      </c>
      <c r="X251" s="3" t="s">
        <v>348</v>
      </c>
      <c r="Y251" s="3"/>
      <c r="Z251" s="3" t="s">
        <v>478</v>
      </c>
    </row>
    <row r="252" spans="1:26" x14ac:dyDescent="0.3">
      <c r="A252">
        <v>16216</v>
      </c>
      <c r="B252" t="s">
        <v>244</v>
      </c>
      <c r="C252" t="s">
        <v>683</v>
      </c>
      <c r="D252" t="s">
        <v>196</v>
      </c>
      <c r="E252">
        <v>-7.7317900000000002</v>
      </c>
      <c r="F252">
        <v>110.187518</v>
      </c>
      <c r="G252" t="s">
        <v>197</v>
      </c>
      <c r="H252" t="s">
        <v>40</v>
      </c>
      <c r="I252">
        <v>-7.7336369999999999</v>
      </c>
      <c r="J252">
        <v>110.186243</v>
      </c>
      <c r="K252">
        <v>3.1</v>
      </c>
      <c r="L252">
        <v>35.024999999999999</v>
      </c>
      <c r="M252">
        <v>11.299200000000001</v>
      </c>
      <c r="N252" t="s">
        <v>31</v>
      </c>
      <c r="O252" t="s">
        <v>346</v>
      </c>
      <c r="P252">
        <v>35.024999999999999</v>
      </c>
      <c r="Q252">
        <v>0</v>
      </c>
      <c r="R252" s="2" t="s">
        <v>245</v>
      </c>
      <c r="S252" s="2" t="s">
        <v>199</v>
      </c>
      <c r="T252" s="2" t="s">
        <v>743</v>
      </c>
      <c r="U252" s="3" t="s">
        <v>152</v>
      </c>
      <c r="V252" s="3"/>
      <c r="W252" t="str">
        <f t="shared" si="3"/>
        <v>T</v>
      </c>
      <c r="X252" s="3" t="s">
        <v>50</v>
      </c>
      <c r="Y252" s="3"/>
      <c r="Z252" s="3" t="s">
        <v>478</v>
      </c>
    </row>
    <row r="253" spans="1:26" x14ac:dyDescent="0.3">
      <c r="A253">
        <v>16438</v>
      </c>
      <c r="B253" t="s">
        <v>248</v>
      </c>
      <c r="C253" t="s">
        <v>683</v>
      </c>
      <c r="D253" t="s">
        <v>196</v>
      </c>
      <c r="E253">
        <v>-7.7299790000000002</v>
      </c>
      <c r="F253">
        <v>110.186615</v>
      </c>
      <c r="G253" t="s">
        <v>220</v>
      </c>
      <c r="H253" t="s">
        <v>40</v>
      </c>
      <c r="I253">
        <v>-7.7280069999999998</v>
      </c>
      <c r="J253">
        <v>110.18629300000001</v>
      </c>
      <c r="K253">
        <v>2.7610000000000001</v>
      </c>
      <c r="L253">
        <v>46.692999999999998</v>
      </c>
      <c r="M253">
        <v>16.913499999999999</v>
      </c>
      <c r="N253" t="s">
        <v>31</v>
      </c>
      <c r="O253" t="s">
        <v>346</v>
      </c>
      <c r="P253">
        <v>46.692999999999998</v>
      </c>
      <c r="Q253">
        <v>0</v>
      </c>
      <c r="R253" s="2" t="s">
        <v>249</v>
      </c>
      <c r="S253" s="2" t="s">
        <v>222</v>
      </c>
      <c r="T253" s="2" t="s">
        <v>744</v>
      </c>
      <c r="U253" s="3" t="s">
        <v>152</v>
      </c>
      <c r="V253" s="3"/>
      <c r="W253" t="str">
        <f t="shared" si="3"/>
        <v>T</v>
      </c>
      <c r="X253" s="3" t="s">
        <v>50</v>
      </c>
      <c r="Y253" s="3"/>
      <c r="Z253" s="3" t="s">
        <v>478</v>
      </c>
    </row>
    <row r="254" spans="1:26" x14ac:dyDescent="0.3">
      <c r="A254">
        <v>16619</v>
      </c>
      <c r="B254" t="s">
        <v>251</v>
      </c>
      <c r="C254" t="s">
        <v>683</v>
      </c>
      <c r="D254" t="s">
        <v>252</v>
      </c>
      <c r="E254">
        <v>-7.647678</v>
      </c>
      <c r="F254">
        <v>110.190398</v>
      </c>
      <c r="G254" t="s">
        <v>253</v>
      </c>
      <c r="H254" t="s">
        <v>30</v>
      </c>
      <c r="I254">
        <v>-7.6484670000000001</v>
      </c>
      <c r="J254">
        <v>110.188632</v>
      </c>
      <c r="K254">
        <v>2.6669999999999998</v>
      </c>
      <c r="L254">
        <v>110.96599999999999</v>
      </c>
      <c r="M254">
        <v>41.603000000000002</v>
      </c>
      <c r="N254" t="s">
        <v>31</v>
      </c>
      <c r="O254" t="s">
        <v>346</v>
      </c>
      <c r="P254">
        <v>110.96599999999999</v>
      </c>
      <c r="Q254">
        <v>0</v>
      </c>
      <c r="R254" s="2" t="s">
        <v>254</v>
      </c>
      <c r="S254" s="2" t="s">
        <v>255</v>
      </c>
      <c r="T254" s="2" t="s">
        <v>745</v>
      </c>
      <c r="U254" s="3" t="s">
        <v>152</v>
      </c>
      <c r="V254" s="3"/>
      <c r="W254" t="str">
        <f t="shared" si="3"/>
        <v>T</v>
      </c>
      <c r="X254" s="3" t="s">
        <v>348</v>
      </c>
      <c r="Y254" s="3"/>
      <c r="Z254" s="3" t="s">
        <v>478</v>
      </c>
    </row>
    <row r="255" spans="1:26" x14ac:dyDescent="0.3">
      <c r="A255">
        <v>16905</v>
      </c>
      <c r="B255" t="s">
        <v>746</v>
      </c>
      <c r="C255" t="s">
        <v>683</v>
      </c>
      <c r="E255">
        <v>-7.6938139999999997</v>
      </c>
      <c r="F255">
        <v>110.19393700000001</v>
      </c>
      <c r="G255" t="s">
        <v>695</v>
      </c>
      <c r="H255" t="s">
        <v>40</v>
      </c>
      <c r="I255">
        <v>-7.6937620000000004</v>
      </c>
      <c r="J255">
        <v>110.192578</v>
      </c>
      <c r="K255">
        <v>1.875</v>
      </c>
      <c r="L255">
        <v>71.382999999999996</v>
      </c>
      <c r="M255">
        <v>38.069000000000003</v>
      </c>
      <c r="N255" t="s">
        <v>31</v>
      </c>
      <c r="O255" t="s">
        <v>358</v>
      </c>
      <c r="P255">
        <v>2.7189999999999999</v>
      </c>
      <c r="Q255">
        <v>68.664000000000001</v>
      </c>
      <c r="R255" s="2" t="s">
        <v>747</v>
      </c>
      <c r="S255" s="2" t="s">
        <v>697</v>
      </c>
      <c r="T255" s="2" t="s">
        <v>748</v>
      </c>
      <c r="U255" s="3" t="s">
        <v>353</v>
      </c>
      <c r="W255" t="str">
        <f>IF(LEFT(U255,1)="","",IF(ISNUMBER(SEARCH(LEFT(U255,1),"ABCDG")),"Y",IF(ISNUMBER(SEARCH(LEFT(U255,1),"EFH")),"T",IF(LEFT(U255,1)="I","cek",""))))</f>
        <v>Y</v>
      </c>
      <c r="X255" s="3" t="s">
        <v>348</v>
      </c>
      <c r="Y255" s="3"/>
      <c r="Z255" s="3" t="s">
        <v>478</v>
      </c>
    </row>
    <row r="256" spans="1:26" x14ac:dyDescent="0.3">
      <c r="A256">
        <v>17118</v>
      </c>
      <c r="B256" t="s">
        <v>749</v>
      </c>
      <c r="C256" t="s">
        <v>683</v>
      </c>
      <c r="D256" t="s">
        <v>750</v>
      </c>
      <c r="E256">
        <v>-7.6910949999999998</v>
      </c>
      <c r="F256">
        <v>110.191222</v>
      </c>
      <c r="G256" t="s">
        <v>695</v>
      </c>
      <c r="H256" t="s">
        <v>40</v>
      </c>
      <c r="I256">
        <v>-7.6937620000000004</v>
      </c>
      <c r="J256">
        <v>110.192578</v>
      </c>
      <c r="K256">
        <v>4.133</v>
      </c>
      <c r="L256">
        <v>76.516000000000005</v>
      </c>
      <c r="M256">
        <v>18.5122</v>
      </c>
      <c r="N256" t="s">
        <v>31</v>
      </c>
      <c r="O256" t="s">
        <v>470</v>
      </c>
      <c r="R256" s="2" t="s">
        <v>751</v>
      </c>
      <c r="S256" s="2" t="s">
        <v>697</v>
      </c>
      <c r="T256" s="2" t="s">
        <v>752</v>
      </c>
      <c r="U256" s="3" t="s">
        <v>353</v>
      </c>
      <c r="V256" s="3"/>
      <c r="W256" t="str">
        <f t="shared" si="3"/>
        <v>Y</v>
      </c>
      <c r="X256" s="3" t="s">
        <v>50</v>
      </c>
      <c r="Y256" s="3"/>
      <c r="Z256" s="3" t="s">
        <v>478</v>
      </c>
    </row>
    <row r="257" spans="1:26" x14ac:dyDescent="0.3">
      <c r="A257">
        <v>17409</v>
      </c>
      <c r="B257" t="s">
        <v>268</v>
      </c>
      <c r="C257" t="s">
        <v>683</v>
      </c>
      <c r="D257" t="s">
        <v>269</v>
      </c>
      <c r="E257">
        <v>-7.7154790000000002</v>
      </c>
      <c r="F257">
        <v>110.172134</v>
      </c>
      <c r="G257" t="s">
        <v>270</v>
      </c>
      <c r="H257" t="s">
        <v>40</v>
      </c>
      <c r="I257">
        <v>-7.7176850000000004</v>
      </c>
      <c r="J257">
        <v>110.17143900000001</v>
      </c>
      <c r="K257">
        <v>3.1949999999999998</v>
      </c>
      <c r="L257">
        <v>45.420999999999999</v>
      </c>
      <c r="M257">
        <v>14.2164</v>
      </c>
      <c r="N257" t="s">
        <v>31</v>
      </c>
      <c r="O257" t="s">
        <v>346</v>
      </c>
      <c r="P257">
        <v>45.420999999999999</v>
      </c>
      <c r="Q257">
        <v>0</v>
      </c>
      <c r="R257" s="2" t="s">
        <v>271</v>
      </c>
      <c r="S257" s="2" t="s">
        <v>272</v>
      </c>
      <c r="T257" s="2" t="s">
        <v>753</v>
      </c>
      <c r="U257" s="3" t="s">
        <v>114</v>
      </c>
      <c r="V257" s="3"/>
      <c r="W257" t="str">
        <f t="shared" si="3"/>
        <v>Y</v>
      </c>
      <c r="X257" s="3" t="s">
        <v>50</v>
      </c>
      <c r="Y257" s="3"/>
      <c r="Z257" s="3" t="s">
        <v>478</v>
      </c>
    </row>
    <row r="258" spans="1:26" x14ac:dyDescent="0.3">
      <c r="A258">
        <v>17663</v>
      </c>
      <c r="B258" t="s">
        <v>282</v>
      </c>
      <c r="C258" t="s">
        <v>683</v>
      </c>
      <c r="D258" t="s">
        <v>190</v>
      </c>
      <c r="E258">
        <v>-7.6928320000000001</v>
      </c>
      <c r="F258">
        <v>110.154045</v>
      </c>
      <c r="G258" t="s">
        <v>191</v>
      </c>
      <c r="H258" t="s">
        <v>30</v>
      </c>
      <c r="I258">
        <v>-7.691147</v>
      </c>
      <c r="J258">
        <v>110.154083</v>
      </c>
      <c r="K258">
        <v>2.33</v>
      </c>
      <c r="L258">
        <v>38.99</v>
      </c>
      <c r="M258">
        <v>16.735099999999999</v>
      </c>
      <c r="N258" t="s">
        <v>31</v>
      </c>
      <c r="O258" t="s">
        <v>346</v>
      </c>
      <c r="P258">
        <v>38.99</v>
      </c>
      <c r="Q258">
        <v>0</v>
      </c>
      <c r="R258" s="2" t="s">
        <v>283</v>
      </c>
      <c r="S258" s="2" t="s">
        <v>193</v>
      </c>
      <c r="T258" s="2" t="s">
        <v>754</v>
      </c>
      <c r="U258" s="3" t="s">
        <v>114</v>
      </c>
      <c r="V258" s="3"/>
      <c r="W258" t="str">
        <f t="shared" ref="W258:W265" si="4">IF(LEFT(U258,1)="","",IF(ISNUMBER(SEARCH(LEFT(U258,1),"ABCDG")),"Y",IF(ISNUMBER(SEARCH(LEFT(U258,1),"EFH")),"T",IF(LEFT(U258,1)="I","cek",""))))</f>
        <v>Y</v>
      </c>
      <c r="X258" s="3" t="s">
        <v>50</v>
      </c>
      <c r="Y258" s="3"/>
      <c r="Z258" s="3" t="s">
        <v>478</v>
      </c>
    </row>
    <row r="259" spans="1:26" x14ac:dyDescent="0.3">
      <c r="A259">
        <v>17733</v>
      </c>
      <c r="B259" t="s">
        <v>755</v>
      </c>
      <c r="C259" t="s">
        <v>683</v>
      </c>
      <c r="D259" t="s">
        <v>756</v>
      </c>
      <c r="E259">
        <v>-7.893669</v>
      </c>
      <c r="F259">
        <v>110.17631900000001</v>
      </c>
      <c r="G259" t="s">
        <v>757</v>
      </c>
      <c r="H259" t="s">
        <v>40</v>
      </c>
      <c r="I259">
        <v>-7.8918809999999997</v>
      </c>
      <c r="J259">
        <v>110.17862599999999</v>
      </c>
      <c r="K259">
        <v>4.0259999999999998</v>
      </c>
      <c r="L259">
        <v>32.198</v>
      </c>
      <c r="M259">
        <v>7.9976000000000003</v>
      </c>
      <c r="N259" t="s">
        <v>31</v>
      </c>
      <c r="O259" t="s">
        <v>470</v>
      </c>
      <c r="R259" s="2" t="s">
        <v>758</v>
      </c>
      <c r="S259" s="2" t="s">
        <v>759</v>
      </c>
      <c r="T259" s="2" t="s">
        <v>760</v>
      </c>
      <c r="U259" s="3" t="s">
        <v>353</v>
      </c>
      <c r="V259" s="3"/>
      <c r="W259" t="str">
        <f t="shared" si="4"/>
        <v>Y</v>
      </c>
      <c r="X259" s="3" t="s">
        <v>50</v>
      </c>
      <c r="Y259" s="3"/>
      <c r="Z259" s="3" t="s">
        <v>478</v>
      </c>
    </row>
    <row r="260" spans="1:26" x14ac:dyDescent="0.3">
      <c r="A260">
        <v>18544</v>
      </c>
      <c r="B260" t="s">
        <v>761</v>
      </c>
      <c r="C260" t="s">
        <v>683</v>
      </c>
      <c r="D260" t="s">
        <v>756</v>
      </c>
      <c r="E260">
        <v>-7.8945730000000003</v>
      </c>
      <c r="F260">
        <v>110.17631799999999</v>
      </c>
      <c r="G260" t="s">
        <v>757</v>
      </c>
      <c r="H260" t="s">
        <v>40</v>
      </c>
      <c r="I260">
        <v>-7.8918809999999997</v>
      </c>
      <c r="J260">
        <v>110.17862599999999</v>
      </c>
      <c r="K260">
        <v>4.8949999999999996</v>
      </c>
      <c r="L260">
        <v>31.367999999999999</v>
      </c>
      <c r="M260">
        <v>6.4080000000000004</v>
      </c>
      <c r="N260" t="s">
        <v>31</v>
      </c>
      <c r="O260" t="s">
        <v>470</v>
      </c>
      <c r="R260" s="2" t="s">
        <v>762</v>
      </c>
      <c r="S260" s="2" t="s">
        <v>759</v>
      </c>
      <c r="T260" s="2" t="s">
        <v>763</v>
      </c>
      <c r="U260" s="3" t="s">
        <v>353</v>
      </c>
      <c r="V260" s="3"/>
      <c r="W260" t="str">
        <f t="shared" si="4"/>
        <v>Y</v>
      </c>
      <c r="X260" s="3" t="s">
        <v>50</v>
      </c>
      <c r="Y260" s="3"/>
      <c r="Z260" s="3" t="s">
        <v>478</v>
      </c>
    </row>
    <row r="261" spans="1:26" x14ac:dyDescent="0.3">
      <c r="A261">
        <v>20037</v>
      </c>
      <c r="B261" t="s">
        <v>653</v>
      </c>
      <c r="C261" t="s">
        <v>683</v>
      </c>
      <c r="E261">
        <v>-7.9244839999999996</v>
      </c>
      <c r="F261">
        <v>110.208917</v>
      </c>
      <c r="G261" t="s">
        <v>602</v>
      </c>
      <c r="H261" t="s">
        <v>40</v>
      </c>
      <c r="I261">
        <v>-7.9239439999999997</v>
      </c>
      <c r="J261">
        <v>110.210145</v>
      </c>
      <c r="K261">
        <v>1.849</v>
      </c>
      <c r="L261">
        <v>33.091999999999999</v>
      </c>
      <c r="M261">
        <v>17.898499999999999</v>
      </c>
      <c r="N261" t="s">
        <v>31</v>
      </c>
      <c r="O261" t="s">
        <v>358</v>
      </c>
      <c r="P261">
        <v>27.986999999999998</v>
      </c>
      <c r="Q261">
        <v>5.1050000000000004</v>
      </c>
      <c r="R261" s="2" t="s">
        <v>654</v>
      </c>
      <c r="S261" s="2" t="s">
        <v>604</v>
      </c>
      <c r="T261" s="2" t="s">
        <v>764</v>
      </c>
      <c r="U261" s="3" t="s">
        <v>353</v>
      </c>
      <c r="W261" t="str">
        <f>IF(LEFT(U261,1)="","",IF(ISNUMBER(SEARCH(LEFT(U261,1),"ABCDG")),"Y",IF(ISNUMBER(SEARCH(LEFT(U261,1),"EFH")),"T",IF(LEFT(U261,1)="I","cek",""))))</f>
        <v>Y</v>
      </c>
      <c r="X261" s="3" t="s">
        <v>348</v>
      </c>
      <c r="Y261" s="3"/>
      <c r="Z261" s="3" t="s">
        <v>478</v>
      </c>
    </row>
    <row r="262" spans="1:26" x14ac:dyDescent="0.3">
      <c r="A262">
        <v>20385</v>
      </c>
      <c r="B262" t="s">
        <v>765</v>
      </c>
      <c r="C262" t="s">
        <v>683</v>
      </c>
      <c r="D262" t="s">
        <v>756</v>
      </c>
      <c r="E262">
        <v>-7.8927630000000004</v>
      </c>
      <c r="F262">
        <v>110.175414</v>
      </c>
      <c r="G262" t="s">
        <v>757</v>
      </c>
      <c r="H262" t="s">
        <v>40</v>
      </c>
      <c r="I262">
        <v>-7.8918809999999997</v>
      </c>
      <c r="J262">
        <v>110.17862599999999</v>
      </c>
      <c r="K262">
        <v>4.5910000000000002</v>
      </c>
      <c r="L262">
        <v>34.228000000000002</v>
      </c>
      <c r="M262">
        <v>7.4555999999999996</v>
      </c>
      <c r="N262" t="s">
        <v>31</v>
      </c>
      <c r="O262" t="s">
        <v>470</v>
      </c>
      <c r="R262" s="2" t="s">
        <v>766</v>
      </c>
      <c r="S262" s="2" t="s">
        <v>759</v>
      </c>
      <c r="T262" s="2" t="s">
        <v>767</v>
      </c>
      <c r="U262" s="3" t="s">
        <v>353</v>
      </c>
      <c r="W262" t="str">
        <f>IF(LEFT(U262,1)="","",IF(ISNUMBER(SEARCH(LEFT(U262,1),"ABCDG")),"Y",IF(ISNUMBER(SEARCH(LEFT(U262,1),"EFH")),"T",IF(LEFT(U262,1)="I","cek",""))))</f>
        <v>Y</v>
      </c>
      <c r="X262" s="3" t="s">
        <v>50</v>
      </c>
      <c r="Y262" s="3"/>
      <c r="Z262" s="3" t="s">
        <v>478</v>
      </c>
    </row>
    <row r="263" spans="1:26" x14ac:dyDescent="0.3">
      <c r="A263">
        <v>21012</v>
      </c>
      <c r="B263" t="s">
        <v>768</v>
      </c>
      <c r="C263" t="s">
        <v>683</v>
      </c>
      <c r="D263" t="s">
        <v>769</v>
      </c>
      <c r="E263">
        <v>-7.9235759999999997</v>
      </c>
      <c r="F263">
        <v>110.207105</v>
      </c>
      <c r="G263" t="s">
        <v>602</v>
      </c>
      <c r="H263" t="s">
        <v>40</v>
      </c>
      <c r="I263">
        <v>-7.9239439999999997</v>
      </c>
      <c r="J263">
        <v>110.210145</v>
      </c>
      <c r="K263">
        <v>4.22</v>
      </c>
      <c r="L263">
        <v>35.305</v>
      </c>
      <c r="M263">
        <v>8.3655000000000008</v>
      </c>
      <c r="N263" t="s">
        <v>31</v>
      </c>
      <c r="O263" t="s">
        <v>470</v>
      </c>
      <c r="R263" s="2" t="s">
        <v>770</v>
      </c>
      <c r="S263" s="2" t="s">
        <v>604</v>
      </c>
      <c r="T263" s="2" t="s">
        <v>771</v>
      </c>
      <c r="U263" s="3" t="s">
        <v>353</v>
      </c>
      <c r="W263" t="str">
        <f>IF(LEFT(U263,1)="","",IF(ISNUMBER(SEARCH(LEFT(U263,1),"ABCDG")),"Y",IF(ISNUMBER(SEARCH(LEFT(U263,1),"EFH")),"T",IF(LEFT(U263,1)="I","cek",""))))</f>
        <v>Y</v>
      </c>
      <c r="X263" s="3" t="s">
        <v>50</v>
      </c>
      <c r="Y263" s="3"/>
      <c r="Z263" s="3" t="s">
        <v>478</v>
      </c>
    </row>
    <row r="264" spans="1:26" x14ac:dyDescent="0.3">
      <c r="A264">
        <v>22130</v>
      </c>
      <c r="B264" t="s">
        <v>671</v>
      </c>
      <c r="C264" t="s">
        <v>683</v>
      </c>
      <c r="E264">
        <v>-7.923578</v>
      </c>
      <c r="F264">
        <v>110.208012</v>
      </c>
      <c r="G264" t="s">
        <v>602</v>
      </c>
      <c r="H264" t="s">
        <v>40</v>
      </c>
      <c r="I264">
        <v>-7.9239439999999997</v>
      </c>
      <c r="J264">
        <v>110.210145</v>
      </c>
      <c r="K264">
        <v>2.9830000000000001</v>
      </c>
      <c r="L264">
        <v>33.18</v>
      </c>
      <c r="M264">
        <v>11.1236</v>
      </c>
      <c r="N264" t="s">
        <v>31</v>
      </c>
      <c r="O264" t="s">
        <v>358</v>
      </c>
      <c r="P264">
        <v>28.076000000000001</v>
      </c>
      <c r="Q264">
        <v>5.1050000000000004</v>
      </c>
      <c r="R264" s="2" t="s">
        <v>672</v>
      </c>
      <c r="S264" s="2" t="s">
        <v>604</v>
      </c>
      <c r="T264" s="2" t="s">
        <v>772</v>
      </c>
      <c r="U264" s="3" t="s">
        <v>353</v>
      </c>
      <c r="W264" t="str">
        <f>IF(LEFT(U264,1)="","",IF(ISNUMBER(SEARCH(LEFT(U264,1),"ABCDG")),"Y",IF(ISNUMBER(SEARCH(LEFT(U264,1),"EFH")),"T",IF(LEFT(U264,1)="I","cek",""))))</f>
        <v>Y</v>
      </c>
      <c r="X264" s="3" t="s">
        <v>348</v>
      </c>
      <c r="Y264" s="3"/>
      <c r="Z264" s="3" t="s">
        <v>478</v>
      </c>
    </row>
    <row r="265" spans="1:26" x14ac:dyDescent="0.3">
      <c r="A265">
        <v>22271</v>
      </c>
      <c r="B265" t="s">
        <v>674</v>
      </c>
      <c r="C265" t="s">
        <v>683</v>
      </c>
      <c r="E265">
        <v>-7.9244859999999999</v>
      </c>
      <c r="F265">
        <v>110.209824</v>
      </c>
      <c r="G265" t="s">
        <v>602</v>
      </c>
      <c r="H265" t="s">
        <v>40</v>
      </c>
      <c r="I265">
        <v>-7.9239439999999997</v>
      </c>
      <c r="J265">
        <v>110.210145</v>
      </c>
      <c r="K265">
        <v>0.86899999999999999</v>
      </c>
      <c r="L265">
        <v>34.366999999999997</v>
      </c>
      <c r="M265">
        <v>39.560400000000001</v>
      </c>
      <c r="N265" t="s">
        <v>31</v>
      </c>
      <c r="O265" t="s">
        <v>358</v>
      </c>
      <c r="P265">
        <v>29.262</v>
      </c>
      <c r="Q265">
        <v>5.1050000000000004</v>
      </c>
      <c r="R265" s="2" t="s">
        <v>675</v>
      </c>
      <c r="S265" s="2" t="s">
        <v>604</v>
      </c>
      <c r="T265" s="2" t="s">
        <v>773</v>
      </c>
      <c r="U265" s="3" t="s">
        <v>353</v>
      </c>
      <c r="W265" t="str">
        <f>IF(LEFT(U265,1)="","",IF(ISNUMBER(SEARCH(LEFT(U265,1),"ABCDG")),"Y",IF(ISNUMBER(SEARCH(LEFT(U265,1),"EFH")),"T",IF(LEFT(U265,1)="I","cek",""))))</f>
        <v>Y</v>
      </c>
      <c r="X265" s="3" t="s">
        <v>348</v>
      </c>
      <c r="Y265" s="3"/>
      <c r="Z265" s="3" t="s">
        <v>478</v>
      </c>
    </row>
  </sheetData>
  <dataValidations count="2">
    <dataValidation type="list" allowBlank="1" sqref="U2:U147 U154 U156 U162 U164 U167 V2:V171 V177:V178 V182 V186 V190 V192:V194 U171:U198 V199:V200 V202 V204 V207 V224:V225 V230:V231 V235:V236 V238 V240 V242 V245:V248 V252:V254 U201:U265 V256:V260" xr:uid="{00000000-0002-0000-0000-000000000000}">
      <formula1>"A Sungai/waduk,B Kawasan tertutup/bandara,C Topografi perbukitan,D Jaringan jalan memang jarang,E Jaringan OSM tidak lengkap,F Kesalahan snapping,G Penutupan ruas akibat banjir,H TES lebih dekat tidak tercatat,I Belum terjelaskan"</formula1>
    </dataValidation>
    <dataValidation type="list" allowBlank="1" sqref="X2:X265" xr:uid="{00000000-0002-0000-0000-000001000000}">
      <formula1>"otomatis,perlu konfirmasi peneliti,perlu divalidasi"</formula1>
    </dataValidation>
  </dataValidations>
  <hyperlinks>
    <hyperlink ref="R2" r:id="rId1" xr:uid="{00000000-0004-0000-0000-000000000000}"/>
    <hyperlink ref="S2" r:id="rId2" xr:uid="{00000000-0004-0000-0000-000001000000}"/>
    <hyperlink ref="T2" r:id="rId3" xr:uid="{00000000-0004-0000-0000-000002000000}"/>
    <hyperlink ref="R3" r:id="rId4" xr:uid="{00000000-0004-0000-0000-000003000000}"/>
    <hyperlink ref="S3" r:id="rId5" xr:uid="{00000000-0004-0000-0000-000004000000}"/>
    <hyperlink ref="T3" r:id="rId6" xr:uid="{00000000-0004-0000-0000-000005000000}"/>
    <hyperlink ref="R4" r:id="rId7" xr:uid="{00000000-0004-0000-0000-000006000000}"/>
    <hyperlink ref="S4" r:id="rId8" xr:uid="{00000000-0004-0000-0000-000007000000}"/>
    <hyperlink ref="T4" r:id="rId9" xr:uid="{00000000-0004-0000-0000-000008000000}"/>
    <hyperlink ref="R5" r:id="rId10" xr:uid="{00000000-0004-0000-0000-000009000000}"/>
    <hyperlink ref="S5" r:id="rId11" xr:uid="{00000000-0004-0000-0000-00000A000000}"/>
    <hyperlink ref="T5" r:id="rId12" xr:uid="{00000000-0004-0000-0000-00000B000000}"/>
    <hyperlink ref="R6" r:id="rId13" xr:uid="{00000000-0004-0000-0000-00000C000000}"/>
    <hyperlink ref="S6" r:id="rId14" xr:uid="{00000000-0004-0000-0000-00000D000000}"/>
    <hyperlink ref="T6" r:id="rId15" xr:uid="{00000000-0004-0000-0000-00000E000000}"/>
    <hyperlink ref="R7" r:id="rId16" xr:uid="{00000000-0004-0000-0000-00000F000000}"/>
    <hyperlink ref="S7" r:id="rId17" xr:uid="{00000000-0004-0000-0000-000010000000}"/>
    <hyperlink ref="T7" r:id="rId18" xr:uid="{00000000-0004-0000-0000-000011000000}"/>
    <hyperlink ref="R8" r:id="rId19" xr:uid="{00000000-0004-0000-0000-000012000000}"/>
    <hyperlink ref="S8" r:id="rId20" xr:uid="{00000000-0004-0000-0000-000013000000}"/>
    <hyperlink ref="T8" r:id="rId21" xr:uid="{00000000-0004-0000-0000-000014000000}"/>
    <hyperlink ref="R9" r:id="rId22" xr:uid="{00000000-0004-0000-0000-000015000000}"/>
    <hyperlink ref="S9" r:id="rId23" xr:uid="{00000000-0004-0000-0000-000016000000}"/>
    <hyperlink ref="T9" r:id="rId24" xr:uid="{00000000-0004-0000-0000-000017000000}"/>
    <hyperlink ref="R10" r:id="rId25" xr:uid="{00000000-0004-0000-0000-000018000000}"/>
    <hyperlink ref="S10" r:id="rId26" xr:uid="{00000000-0004-0000-0000-000019000000}"/>
    <hyperlink ref="T10" r:id="rId27" xr:uid="{00000000-0004-0000-0000-00001A000000}"/>
    <hyperlink ref="R11" r:id="rId28" xr:uid="{00000000-0004-0000-0000-00001B000000}"/>
    <hyperlink ref="S11" r:id="rId29" xr:uid="{00000000-0004-0000-0000-00001C000000}"/>
    <hyperlink ref="T11" r:id="rId30" xr:uid="{00000000-0004-0000-0000-00001D000000}"/>
    <hyperlink ref="R12" r:id="rId31" xr:uid="{00000000-0004-0000-0000-00001E000000}"/>
    <hyperlink ref="S12" r:id="rId32" xr:uid="{00000000-0004-0000-0000-00001F000000}"/>
    <hyperlink ref="T12" r:id="rId33" xr:uid="{00000000-0004-0000-0000-000020000000}"/>
    <hyperlink ref="R13" r:id="rId34" xr:uid="{00000000-0004-0000-0000-000021000000}"/>
    <hyperlink ref="S13" r:id="rId35" xr:uid="{00000000-0004-0000-0000-000022000000}"/>
    <hyperlink ref="T13" r:id="rId36" xr:uid="{00000000-0004-0000-0000-000023000000}"/>
    <hyperlink ref="R14" r:id="rId37" xr:uid="{00000000-0004-0000-0000-000024000000}"/>
    <hyperlink ref="S14" r:id="rId38" xr:uid="{00000000-0004-0000-0000-000025000000}"/>
    <hyperlink ref="T14" r:id="rId39" xr:uid="{00000000-0004-0000-0000-000026000000}"/>
    <hyperlink ref="R15" r:id="rId40" xr:uid="{00000000-0004-0000-0000-000027000000}"/>
    <hyperlink ref="S15" r:id="rId41" xr:uid="{00000000-0004-0000-0000-000028000000}"/>
    <hyperlink ref="T15" r:id="rId42" xr:uid="{00000000-0004-0000-0000-000029000000}"/>
    <hyperlink ref="R16" r:id="rId43" xr:uid="{00000000-0004-0000-0000-00002A000000}"/>
    <hyperlink ref="S16" r:id="rId44" xr:uid="{00000000-0004-0000-0000-00002B000000}"/>
    <hyperlink ref="T16" r:id="rId45" xr:uid="{00000000-0004-0000-0000-00002C000000}"/>
    <hyperlink ref="R17" r:id="rId46" xr:uid="{00000000-0004-0000-0000-00002D000000}"/>
    <hyperlink ref="S17" r:id="rId47" xr:uid="{00000000-0004-0000-0000-00002E000000}"/>
    <hyperlink ref="T17" r:id="rId48" xr:uid="{00000000-0004-0000-0000-00002F000000}"/>
    <hyperlink ref="R18" r:id="rId49" xr:uid="{00000000-0004-0000-0000-000030000000}"/>
    <hyperlink ref="S18" r:id="rId50" xr:uid="{00000000-0004-0000-0000-000031000000}"/>
    <hyperlink ref="T18" r:id="rId51" xr:uid="{00000000-0004-0000-0000-000032000000}"/>
    <hyperlink ref="R19" r:id="rId52" xr:uid="{00000000-0004-0000-0000-000033000000}"/>
    <hyperlink ref="S19" r:id="rId53" xr:uid="{00000000-0004-0000-0000-000034000000}"/>
    <hyperlink ref="T19" r:id="rId54" xr:uid="{00000000-0004-0000-0000-000035000000}"/>
    <hyperlink ref="R20" r:id="rId55" xr:uid="{00000000-0004-0000-0000-000036000000}"/>
    <hyperlink ref="S20" r:id="rId56" xr:uid="{00000000-0004-0000-0000-000037000000}"/>
    <hyperlink ref="T20" r:id="rId57" xr:uid="{00000000-0004-0000-0000-000038000000}"/>
    <hyperlink ref="R21" r:id="rId58" xr:uid="{00000000-0004-0000-0000-000039000000}"/>
    <hyperlink ref="S21" r:id="rId59" xr:uid="{00000000-0004-0000-0000-00003A000000}"/>
    <hyperlink ref="T21" r:id="rId60" xr:uid="{00000000-0004-0000-0000-00003B000000}"/>
    <hyperlink ref="R22" r:id="rId61" xr:uid="{00000000-0004-0000-0000-00003C000000}"/>
    <hyperlink ref="S22" r:id="rId62" xr:uid="{00000000-0004-0000-0000-00003D000000}"/>
    <hyperlink ref="T22" r:id="rId63" xr:uid="{00000000-0004-0000-0000-00003E000000}"/>
    <hyperlink ref="R23" r:id="rId64" xr:uid="{00000000-0004-0000-0000-00003F000000}"/>
    <hyperlink ref="S23" r:id="rId65" xr:uid="{00000000-0004-0000-0000-000040000000}"/>
    <hyperlink ref="T23" r:id="rId66" xr:uid="{00000000-0004-0000-0000-000041000000}"/>
    <hyperlink ref="R24" r:id="rId67" xr:uid="{00000000-0004-0000-0000-000042000000}"/>
    <hyperlink ref="S24" r:id="rId68" xr:uid="{00000000-0004-0000-0000-000043000000}"/>
    <hyperlink ref="T24" r:id="rId69" xr:uid="{00000000-0004-0000-0000-000044000000}"/>
    <hyperlink ref="R25" r:id="rId70" xr:uid="{00000000-0004-0000-0000-000045000000}"/>
    <hyperlink ref="S25" r:id="rId71" xr:uid="{00000000-0004-0000-0000-000046000000}"/>
    <hyperlink ref="T25" r:id="rId72" xr:uid="{00000000-0004-0000-0000-000047000000}"/>
    <hyperlink ref="R26" r:id="rId73" xr:uid="{00000000-0004-0000-0000-000048000000}"/>
    <hyperlink ref="S26" r:id="rId74" xr:uid="{00000000-0004-0000-0000-000049000000}"/>
    <hyperlink ref="T26" r:id="rId75" xr:uid="{00000000-0004-0000-0000-00004A000000}"/>
    <hyperlink ref="R27" r:id="rId76" xr:uid="{00000000-0004-0000-0000-00004B000000}"/>
    <hyperlink ref="S27" r:id="rId77" xr:uid="{00000000-0004-0000-0000-00004C000000}"/>
    <hyperlink ref="T27" r:id="rId78" xr:uid="{00000000-0004-0000-0000-00004D000000}"/>
    <hyperlink ref="R28" r:id="rId79" xr:uid="{00000000-0004-0000-0000-00004E000000}"/>
    <hyperlink ref="S28" r:id="rId80" xr:uid="{00000000-0004-0000-0000-00004F000000}"/>
    <hyperlink ref="T28" r:id="rId81" xr:uid="{00000000-0004-0000-0000-000050000000}"/>
    <hyperlink ref="R29" r:id="rId82" xr:uid="{00000000-0004-0000-0000-000051000000}"/>
    <hyperlink ref="S29" r:id="rId83" xr:uid="{00000000-0004-0000-0000-000052000000}"/>
    <hyperlink ref="T29" r:id="rId84" xr:uid="{00000000-0004-0000-0000-000053000000}"/>
    <hyperlink ref="R30" r:id="rId85" xr:uid="{00000000-0004-0000-0000-000054000000}"/>
    <hyperlink ref="S30" r:id="rId86" xr:uid="{00000000-0004-0000-0000-000055000000}"/>
    <hyperlink ref="T30" r:id="rId87" xr:uid="{00000000-0004-0000-0000-000056000000}"/>
    <hyperlink ref="R31" r:id="rId88" xr:uid="{00000000-0004-0000-0000-000057000000}"/>
    <hyperlink ref="S31" r:id="rId89" xr:uid="{00000000-0004-0000-0000-000058000000}"/>
    <hyperlink ref="T31" r:id="rId90" xr:uid="{00000000-0004-0000-0000-000059000000}"/>
    <hyperlink ref="R32" r:id="rId91" xr:uid="{00000000-0004-0000-0000-00005A000000}"/>
    <hyperlink ref="S32" r:id="rId92" xr:uid="{00000000-0004-0000-0000-00005B000000}"/>
    <hyperlink ref="T32" r:id="rId93" xr:uid="{00000000-0004-0000-0000-00005C000000}"/>
    <hyperlink ref="R33" r:id="rId94" xr:uid="{00000000-0004-0000-0000-00005D000000}"/>
    <hyperlink ref="S33" r:id="rId95" xr:uid="{00000000-0004-0000-0000-00005E000000}"/>
    <hyperlink ref="T33" r:id="rId96" xr:uid="{00000000-0004-0000-0000-00005F000000}"/>
    <hyperlink ref="R34" r:id="rId97" xr:uid="{00000000-0004-0000-0000-000060000000}"/>
    <hyperlink ref="S34" r:id="rId98" xr:uid="{00000000-0004-0000-0000-000061000000}"/>
    <hyperlink ref="T34" r:id="rId99" xr:uid="{00000000-0004-0000-0000-000062000000}"/>
    <hyperlink ref="R35" r:id="rId100" xr:uid="{00000000-0004-0000-0000-000063000000}"/>
    <hyperlink ref="S35" r:id="rId101" xr:uid="{00000000-0004-0000-0000-000064000000}"/>
    <hyperlink ref="T35" r:id="rId102" xr:uid="{00000000-0004-0000-0000-000065000000}"/>
    <hyperlink ref="R36" r:id="rId103" xr:uid="{00000000-0004-0000-0000-000066000000}"/>
    <hyperlink ref="S36" r:id="rId104" xr:uid="{00000000-0004-0000-0000-000067000000}"/>
    <hyperlink ref="T36" r:id="rId105" xr:uid="{00000000-0004-0000-0000-000068000000}"/>
    <hyperlink ref="R37" r:id="rId106" xr:uid="{00000000-0004-0000-0000-000069000000}"/>
    <hyperlink ref="S37" r:id="rId107" xr:uid="{00000000-0004-0000-0000-00006A000000}"/>
    <hyperlink ref="T37" r:id="rId108" xr:uid="{00000000-0004-0000-0000-00006B000000}"/>
    <hyperlink ref="R38" r:id="rId109" xr:uid="{00000000-0004-0000-0000-00006C000000}"/>
    <hyperlink ref="S38" r:id="rId110" xr:uid="{00000000-0004-0000-0000-00006D000000}"/>
    <hyperlink ref="T38" r:id="rId111" xr:uid="{00000000-0004-0000-0000-00006E000000}"/>
    <hyperlink ref="R39" r:id="rId112" xr:uid="{00000000-0004-0000-0000-00006F000000}"/>
    <hyperlink ref="S39" r:id="rId113" xr:uid="{00000000-0004-0000-0000-000070000000}"/>
    <hyperlink ref="T39" r:id="rId114" xr:uid="{00000000-0004-0000-0000-000071000000}"/>
    <hyperlink ref="R40" r:id="rId115" xr:uid="{00000000-0004-0000-0000-000072000000}"/>
    <hyperlink ref="S40" r:id="rId116" xr:uid="{00000000-0004-0000-0000-000073000000}"/>
    <hyperlink ref="T40" r:id="rId117" xr:uid="{00000000-0004-0000-0000-000074000000}"/>
    <hyperlink ref="R41" r:id="rId118" xr:uid="{00000000-0004-0000-0000-000075000000}"/>
    <hyperlink ref="S41" r:id="rId119" xr:uid="{00000000-0004-0000-0000-000076000000}"/>
    <hyperlink ref="T41" r:id="rId120" xr:uid="{00000000-0004-0000-0000-000077000000}"/>
    <hyperlink ref="R42" r:id="rId121" xr:uid="{00000000-0004-0000-0000-000078000000}"/>
    <hyperlink ref="S42" r:id="rId122" xr:uid="{00000000-0004-0000-0000-000079000000}"/>
    <hyperlink ref="T42" r:id="rId123" xr:uid="{00000000-0004-0000-0000-00007A000000}"/>
    <hyperlink ref="R43" r:id="rId124" xr:uid="{00000000-0004-0000-0000-00007B000000}"/>
    <hyperlink ref="S43" r:id="rId125" xr:uid="{00000000-0004-0000-0000-00007C000000}"/>
    <hyperlink ref="T43" r:id="rId126" xr:uid="{00000000-0004-0000-0000-00007D000000}"/>
    <hyperlink ref="R44" r:id="rId127" xr:uid="{00000000-0004-0000-0000-00007E000000}"/>
    <hyperlink ref="S44" r:id="rId128" xr:uid="{00000000-0004-0000-0000-00007F000000}"/>
    <hyperlink ref="T44" r:id="rId129" xr:uid="{00000000-0004-0000-0000-000080000000}"/>
    <hyperlink ref="R45" r:id="rId130" xr:uid="{00000000-0004-0000-0000-000081000000}"/>
    <hyperlink ref="S45" r:id="rId131" xr:uid="{00000000-0004-0000-0000-000082000000}"/>
    <hyperlink ref="T45" r:id="rId132" xr:uid="{00000000-0004-0000-0000-000083000000}"/>
    <hyperlink ref="R46" r:id="rId133" xr:uid="{00000000-0004-0000-0000-000084000000}"/>
    <hyperlink ref="S46" r:id="rId134" xr:uid="{00000000-0004-0000-0000-000085000000}"/>
    <hyperlink ref="T46" r:id="rId135" xr:uid="{00000000-0004-0000-0000-000086000000}"/>
    <hyperlink ref="R47" r:id="rId136" xr:uid="{00000000-0004-0000-0000-000087000000}"/>
    <hyperlink ref="S47" r:id="rId137" xr:uid="{00000000-0004-0000-0000-000088000000}"/>
    <hyperlink ref="T47" r:id="rId138" xr:uid="{00000000-0004-0000-0000-000089000000}"/>
    <hyperlink ref="R48" r:id="rId139" xr:uid="{00000000-0004-0000-0000-00008A000000}"/>
    <hyperlink ref="S48" r:id="rId140" xr:uid="{00000000-0004-0000-0000-00008B000000}"/>
    <hyperlink ref="T48" r:id="rId141" xr:uid="{00000000-0004-0000-0000-00008C000000}"/>
    <hyperlink ref="R49" r:id="rId142" xr:uid="{00000000-0004-0000-0000-00008D000000}"/>
    <hyperlink ref="S49" r:id="rId143" xr:uid="{00000000-0004-0000-0000-00008E000000}"/>
    <hyperlink ref="T49" r:id="rId144" xr:uid="{00000000-0004-0000-0000-00008F000000}"/>
    <hyperlink ref="R50" r:id="rId145" xr:uid="{00000000-0004-0000-0000-000090000000}"/>
    <hyperlink ref="S50" r:id="rId146" xr:uid="{00000000-0004-0000-0000-000091000000}"/>
    <hyperlink ref="T50" r:id="rId147" xr:uid="{00000000-0004-0000-0000-000092000000}"/>
    <hyperlink ref="R51" r:id="rId148" xr:uid="{00000000-0004-0000-0000-000093000000}"/>
    <hyperlink ref="S51" r:id="rId149" xr:uid="{00000000-0004-0000-0000-000094000000}"/>
    <hyperlink ref="T51" r:id="rId150" xr:uid="{00000000-0004-0000-0000-000095000000}"/>
    <hyperlink ref="R52" r:id="rId151" xr:uid="{00000000-0004-0000-0000-000096000000}"/>
    <hyperlink ref="S52" r:id="rId152" xr:uid="{00000000-0004-0000-0000-000097000000}"/>
    <hyperlink ref="T52" r:id="rId153" xr:uid="{00000000-0004-0000-0000-000098000000}"/>
    <hyperlink ref="R53" r:id="rId154" xr:uid="{00000000-0004-0000-0000-000099000000}"/>
    <hyperlink ref="S53" r:id="rId155" xr:uid="{00000000-0004-0000-0000-00009A000000}"/>
    <hyperlink ref="T53" r:id="rId156" xr:uid="{00000000-0004-0000-0000-00009B000000}"/>
    <hyperlink ref="R54" r:id="rId157" xr:uid="{00000000-0004-0000-0000-00009C000000}"/>
    <hyperlink ref="S54" r:id="rId158" xr:uid="{00000000-0004-0000-0000-00009D000000}"/>
    <hyperlink ref="T54" r:id="rId159" xr:uid="{00000000-0004-0000-0000-00009E000000}"/>
    <hyperlink ref="R55" r:id="rId160" xr:uid="{00000000-0004-0000-0000-00009F000000}"/>
    <hyperlink ref="S55" r:id="rId161" xr:uid="{00000000-0004-0000-0000-0000A0000000}"/>
    <hyperlink ref="T55" r:id="rId162" xr:uid="{00000000-0004-0000-0000-0000A1000000}"/>
    <hyperlink ref="R56" r:id="rId163" xr:uid="{00000000-0004-0000-0000-0000A2000000}"/>
    <hyperlink ref="S56" r:id="rId164" xr:uid="{00000000-0004-0000-0000-0000A3000000}"/>
    <hyperlink ref="T56" r:id="rId165" xr:uid="{00000000-0004-0000-0000-0000A4000000}"/>
    <hyperlink ref="R57" r:id="rId166" xr:uid="{00000000-0004-0000-0000-0000A5000000}"/>
    <hyperlink ref="S57" r:id="rId167" xr:uid="{00000000-0004-0000-0000-0000A6000000}"/>
    <hyperlink ref="T57" r:id="rId168" xr:uid="{00000000-0004-0000-0000-0000A7000000}"/>
    <hyperlink ref="R58" r:id="rId169" xr:uid="{00000000-0004-0000-0000-0000A8000000}"/>
    <hyperlink ref="S58" r:id="rId170" xr:uid="{00000000-0004-0000-0000-0000A9000000}"/>
    <hyperlink ref="T58" r:id="rId171" xr:uid="{00000000-0004-0000-0000-0000AA000000}"/>
    <hyperlink ref="R59" r:id="rId172" xr:uid="{00000000-0004-0000-0000-0000AB000000}"/>
    <hyperlink ref="S59" r:id="rId173" xr:uid="{00000000-0004-0000-0000-0000AC000000}"/>
    <hyperlink ref="T59" r:id="rId174" xr:uid="{00000000-0004-0000-0000-0000AD000000}"/>
    <hyperlink ref="R60" r:id="rId175" xr:uid="{00000000-0004-0000-0000-0000AE000000}"/>
    <hyperlink ref="S60" r:id="rId176" xr:uid="{00000000-0004-0000-0000-0000AF000000}"/>
    <hyperlink ref="T60" r:id="rId177" xr:uid="{00000000-0004-0000-0000-0000B0000000}"/>
    <hyperlink ref="R61" r:id="rId178" xr:uid="{00000000-0004-0000-0000-0000B1000000}"/>
    <hyperlink ref="S61" r:id="rId179" xr:uid="{00000000-0004-0000-0000-0000B2000000}"/>
    <hyperlink ref="T61" r:id="rId180" xr:uid="{00000000-0004-0000-0000-0000B3000000}"/>
    <hyperlink ref="R62" r:id="rId181" xr:uid="{00000000-0004-0000-0000-0000B4000000}"/>
    <hyperlink ref="S62" r:id="rId182" xr:uid="{00000000-0004-0000-0000-0000B5000000}"/>
    <hyperlink ref="T62" r:id="rId183" xr:uid="{00000000-0004-0000-0000-0000B6000000}"/>
    <hyperlink ref="R63" r:id="rId184" xr:uid="{00000000-0004-0000-0000-0000B7000000}"/>
    <hyperlink ref="S63" r:id="rId185" xr:uid="{00000000-0004-0000-0000-0000B8000000}"/>
    <hyperlink ref="T63" r:id="rId186" xr:uid="{00000000-0004-0000-0000-0000B9000000}"/>
    <hyperlink ref="R64" r:id="rId187" xr:uid="{00000000-0004-0000-0000-0000BA000000}"/>
    <hyperlink ref="S64" r:id="rId188" xr:uid="{00000000-0004-0000-0000-0000BB000000}"/>
    <hyperlink ref="T64" r:id="rId189" xr:uid="{00000000-0004-0000-0000-0000BC000000}"/>
    <hyperlink ref="R65" r:id="rId190" xr:uid="{00000000-0004-0000-0000-0000BD000000}"/>
    <hyperlink ref="S65" r:id="rId191" xr:uid="{00000000-0004-0000-0000-0000BE000000}"/>
    <hyperlink ref="T65" r:id="rId192" xr:uid="{00000000-0004-0000-0000-0000BF000000}"/>
    <hyperlink ref="R66" r:id="rId193" xr:uid="{00000000-0004-0000-0000-0000C0000000}"/>
    <hyperlink ref="S66" r:id="rId194" xr:uid="{00000000-0004-0000-0000-0000C1000000}"/>
    <hyperlink ref="T66" r:id="rId195" xr:uid="{00000000-0004-0000-0000-0000C2000000}"/>
    <hyperlink ref="R67" r:id="rId196" xr:uid="{00000000-0004-0000-0000-0000C3000000}"/>
    <hyperlink ref="S67" r:id="rId197" xr:uid="{00000000-0004-0000-0000-0000C4000000}"/>
    <hyperlink ref="T67" r:id="rId198" xr:uid="{00000000-0004-0000-0000-0000C5000000}"/>
    <hyperlink ref="R68" r:id="rId199" xr:uid="{00000000-0004-0000-0000-0000C6000000}"/>
    <hyperlink ref="S68" r:id="rId200" xr:uid="{00000000-0004-0000-0000-0000C7000000}"/>
    <hyperlink ref="T68" r:id="rId201" xr:uid="{00000000-0004-0000-0000-0000C8000000}"/>
    <hyperlink ref="R69" r:id="rId202" xr:uid="{00000000-0004-0000-0000-0000C9000000}"/>
    <hyperlink ref="S69" r:id="rId203" xr:uid="{00000000-0004-0000-0000-0000CA000000}"/>
    <hyperlink ref="T69" r:id="rId204" xr:uid="{00000000-0004-0000-0000-0000CB000000}"/>
    <hyperlink ref="R70" r:id="rId205" xr:uid="{00000000-0004-0000-0000-0000CC000000}"/>
    <hyperlink ref="S70" r:id="rId206" xr:uid="{00000000-0004-0000-0000-0000CD000000}"/>
    <hyperlink ref="T70" r:id="rId207" xr:uid="{00000000-0004-0000-0000-0000CE000000}"/>
    <hyperlink ref="R71" r:id="rId208" xr:uid="{00000000-0004-0000-0000-0000CF000000}"/>
    <hyperlink ref="S71" r:id="rId209" xr:uid="{00000000-0004-0000-0000-0000D0000000}"/>
    <hyperlink ref="T71" r:id="rId210" xr:uid="{00000000-0004-0000-0000-0000D1000000}"/>
    <hyperlink ref="R72" r:id="rId211" xr:uid="{00000000-0004-0000-0000-0000D2000000}"/>
    <hyperlink ref="S72" r:id="rId212" xr:uid="{00000000-0004-0000-0000-0000D3000000}"/>
    <hyperlink ref="T72" r:id="rId213" xr:uid="{00000000-0004-0000-0000-0000D4000000}"/>
    <hyperlink ref="R73" r:id="rId214" xr:uid="{00000000-0004-0000-0000-0000D5000000}"/>
    <hyperlink ref="S73" r:id="rId215" xr:uid="{00000000-0004-0000-0000-0000D6000000}"/>
    <hyperlink ref="T73" r:id="rId216" xr:uid="{00000000-0004-0000-0000-0000D7000000}"/>
    <hyperlink ref="R74" r:id="rId217" xr:uid="{00000000-0004-0000-0000-0000D8000000}"/>
    <hyperlink ref="S74" r:id="rId218" xr:uid="{00000000-0004-0000-0000-0000D9000000}"/>
    <hyperlink ref="T74" r:id="rId219" xr:uid="{00000000-0004-0000-0000-0000DA000000}"/>
    <hyperlink ref="R75" r:id="rId220" xr:uid="{00000000-0004-0000-0000-0000DB000000}"/>
    <hyperlink ref="S75" r:id="rId221" xr:uid="{00000000-0004-0000-0000-0000DC000000}"/>
    <hyperlink ref="T75" r:id="rId222" xr:uid="{00000000-0004-0000-0000-0000DD000000}"/>
    <hyperlink ref="R76" r:id="rId223" xr:uid="{00000000-0004-0000-0000-0000DE000000}"/>
    <hyperlink ref="S76" r:id="rId224" xr:uid="{00000000-0004-0000-0000-0000DF000000}"/>
    <hyperlink ref="T76" r:id="rId225" xr:uid="{00000000-0004-0000-0000-0000E0000000}"/>
    <hyperlink ref="R77" r:id="rId226" xr:uid="{00000000-0004-0000-0000-0000E1000000}"/>
    <hyperlink ref="S77" r:id="rId227" xr:uid="{00000000-0004-0000-0000-0000E2000000}"/>
    <hyperlink ref="T77" r:id="rId228" xr:uid="{00000000-0004-0000-0000-0000E3000000}"/>
    <hyperlink ref="R78" r:id="rId229" xr:uid="{00000000-0004-0000-0000-0000E4000000}"/>
    <hyperlink ref="S78" r:id="rId230" xr:uid="{00000000-0004-0000-0000-0000E5000000}"/>
    <hyperlink ref="T78" r:id="rId231" xr:uid="{00000000-0004-0000-0000-0000E6000000}"/>
    <hyperlink ref="R79" r:id="rId232" xr:uid="{00000000-0004-0000-0000-0000E7000000}"/>
    <hyperlink ref="S79" r:id="rId233" xr:uid="{00000000-0004-0000-0000-0000E8000000}"/>
    <hyperlink ref="T79" r:id="rId234" xr:uid="{00000000-0004-0000-0000-0000E9000000}"/>
    <hyperlink ref="R80" r:id="rId235" xr:uid="{00000000-0004-0000-0000-0000EA000000}"/>
    <hyperlink ref="S80" r:id="rId236" xr:uid="{00000000-0004-0000-0000-0000EB000000}"/>
    <hyperlink ref="T80" r:id="rId237" xr:uid="{00000000-0004-0000-0000-0000EC000000}"/>
    <hyperlink ref="R81" r:id="rId238" xr:uid="{00000000-0004-0000-0000-0000ED000000}"/>
    <hyperlink ref="S81" r:id="rId239" xr:uid="{00000000-0004-0000-0000-0000EE000000}"/>
    <hyperlink ref="T81" r:id="rId240" xr:uid="{00000000-0004-0000-0000-0000EF000000}"/>
    <hyperlink ref="R82" r:id="rId241" xr:uid="{00000000-0004-0000-0000-0000F0000000}"/>
    <hyperlink ref="S82" r:id="rId242" xr:uid="{00000000-0004-0000-0000-0000F1000000}"/>
    <hyperlink ref="T82" r:id="rId243" xr:uid="{00000000-0004-0000-0000-0000F2000000}"/>
    <hyperlink ref="R83" r:id="rId244" xr:uid="{00000000-0004-0000-0000-0000F3000000}"/>
    <hyperlink ref="S83" r:id="rId245" xr:uid="{00000000-0004-0000-0000-0000F4000000}"/>
    <hyperlink ref="T83" r:id="rId246" xr:uid="{00000000-0004-0000-0000-0000F5000000}"/>
    <hyperlink ref="R84" r:id="rId247" xr:uid="{00000000-0004-0000-0000-0000F6000000}"/>
    <hyperlink ref="S84" r:id="rId248" xr:uid="{00000000-0004-0000-0000-0000F7000000}"/>
    <hyperlink ref="T84" r:id="rId249" xr:uid="{00000000-0004-0000-0000-0000F8000000}"/>
    <hyperlink ref="R85" r:id="rId250" xr:uid="{00000000-0004-0000-0000-0000F9000000}"/>
    <hyperlink ref="S85" r:id="rId251" xr:uid="{00000000-0004-0000-0000-0000FA000000}"/>
    <hyperlink ref="T85" r:id="rId252" xr:uid="{00000000-0004-0000-0000-0000FB000000}"/>
    <hyperlink ref="R86" r:id="rId253" xr:uid="{00000000-0004-0000-0000-0000FC000000}"/>
    <hyperlink ref="S86" r:id="rId254" xr:uid="{00000000-0004-0000-0000-0000FD000000}"/>
    <hyperlink ref="T86" r:id="rId255" xr:uid="{00000000-0004-0000-0000-0000FE000000}"/>
    <hyperlink ref="R87" r:id="rId256" xr:uid="{00000000-0004-0000-0000-0000FF000000}"/>
    <hyperlink ref="S87" r:id="rId257" xr:uid="{00000000-0004-0000-0000-000000010000}"/>
    <hyperlink ref="T87" r:id="rId258" xr:uid="{00000000-0004-0000-0000-000001010000}"/>
    <hyperlink ref="R88" r:id="rId259" xr:uid="{00000000-0004-0000-0000-000002010000}"/>
    <hyperlink ref="S88" r:id="rId260" xr:uid="{00000000-0004-0000-0000-000003010000}"/>
    <hyperlink ref="T88" r:id="rId261" xr:uid="{00000000-0004-0000-0000-000004010000}"/>
    <hyperlink ref="R89" r:id="rId262" xr:uid="{00000000-0004-0000-0000-000005010000}"/>
    <hyperlink ref="S89" r:id="rId263" xr:uid="{00000000-0004-0000-0000-000006010000}"/>
    <hyperlink ref="T89" r:id="rId264" xr:uid="{00000000-0004-0000-0000-000007010000}"/>
    <hyperlink ref="R90" r:id="rId265" xr:uid="{00000000-0004-0000-0000-000008010000}"/>
    <hyperlink ref="S90" r:id="rId266" xr:uid="{00000000-0004-0000-0000-000009010000}"/>
    <hyperlink ref="T90" r:id="rId267" xr:uid="{00000000-0004-0000-0000-00000A010000}"/>
    <hyperlink ref="R91" r:id="rId268" xr:uid="{00000000-0004-0000-0000-00000B010000}"/>
    <hyperlink ref="S91" r:id="rId269" xr:uid="{00000000-0004-0000-0000-00000C010000}"/>
    <hyperlink ref="T91" r:id="rId270" xr:uid="{00000000-0004-0000-0000-00000D010000}"/>
    <hyperlink ref="R92" r:id="rId271" xr:uid="{00000000-0004-0000-0000-00000E010000}"/>
    <hyperlink ref="S92" r:id="rId272" xr:uid="{00000000-0004-0000-0000-00000F010000}"/>
    <hyperlink ref="T92" r:id="rId273" xr:uid="{00000000-0004-0000-0000-000010010000}"/>
    <hyperlink ref="R93" r:id="rId274" xr:uid="{00000000-0004-0000-0000-000011010000}"/>
    <hyperlink ref="S93" r:id="rId275" xr:uid="{00000000-0004-0000-0000-000012010000}"/>
    <hyperlink ref="T93" r:id="rId276" xr:uid="{00000000-0004-0000-0000-000013010000}"/>
    <hyperlink ref="R94" r:id="rId277" xr:uid="{00000000-0004-0000-0000-000014010000}"/>
    <hyperlink ref="S94" r:id="rId278" xr:uid="{00000000-0004-0000-0000-000015010000}"/>
    <hyperlink ref="T94" r:id="rId279" xr:uid="{00000000-0004-0000-0000-000016010000}"/>
    <hyperlink ref="R95" r:id="rId280" xr:uid="{00000000-0004-0000-0000-000017010000}"/>
    <hyperlink ref="S95" r:id="rId281" xr:uid="{00000000-0004-0000-0000-000018010000}"/>
    <hyperlink ref="T95" r:id="rId282" xr:uid="{00000000-0004-0000-0000-000019010000}"/>
    <hyperlink ref="R96" r:id="rId283" xr:uid="{00000000-0004-0000-0000-00001A010000}"/>
    <hyperlink ref="S96" r:id="rId284" xr:uid="{00000000-0004-0000-0000-00001B010000}"/>
    <hyperlink ref="T96" r:id="rId285" xr:uid="{00000000-0004-0000-0000-00001C010000}"/>
    <hyperlink ref="R97" r:id="rId286" xr:uid="{00000000-0004-0000-0000-00001D010000}"/>
    <hyperlink ref="S97" r:id="rId287" xr:uid="{00000000-0004-0000-0000-00001E010000}"/>
    <hyperlink ref="T97" r:id="rId288" xr:uid="{00000000-0004-0000-0000-00001F010000}"/>
    <hyperlink ref="R98" r:id="rId289" xr:uid="{00000000-0004-0000-0000-000020010000}"/>
    <hyperlink ref="S98" r:id="rId290" xr:uid="{00000000-0004-0000-0000-000021010000}"/>
    <hyperlink ref="T98" r:id="rId291" xr:uid="{00000000-0004-0000-0000-000022010000}"/>
    <hyperlink ref="R99" r:id="rId292" xr:uid="{00000000-0004-0000-0000-000023010000}"/>
    <hyperlink ref="S99" r:id="rId293" xr:uid="{00000000-0004-0000-0000-000024010000}"/>
    <hyperlink ref="T99" r:id="rId294" xr:uid="{00000000-0004-0000-0000-000025010000}"/>
    <hyperlink ref="R100" r:id="rId295" xr:uid="{00000000-0004-0000-0000-000026010000}"/>
    <hyperlink ref="S100" r:id="rId296" xr:uid="{00000000-0004-0000-0000-000027010000}"/>
    <hyperlink ref="T100" r:id="rId297" xr:uid="{00000000-0004-0000-0000-000028010000}"/>
    <hyperlink ref="R101" r:id="rId298" xr:uid="{00000000-0004-0000-0000-000029010000}"/>
    <hyperlink ref="S101" r:id="rId299" xr:uid="{00000000-0004-0000-0000-00002A010000}"/>
    <hyperlink ref="T101" r:id="rId300" xr:uid="{00000000-0004-0000-0000-00002B010000}"/>
    <hyperlink ref="R102" r:id="rId301" xr:uid="{00000000-0004-0000-0000-00002C010000}"/>
    <hyperlink ref="S102" r:id="rId302" xr:uid="{00000000-0004-0000-0000-00002D010000}"/>
    <hyperlink ref="T102" r:id="rId303" xr:uid="{00000000-0004-0000-0000-00002E010000}"/>
    <hyperlink ref="R103" r:id="rId304" xr:uid="{00000000-0004-0000-0000-00002F010000}"/>
    <hyperlink ref="S103" r:id="rId305" xr:uid="{00000000-0004-0000-0000-000030010000}"/>
    <hyperlink ref="T103" r:id="rId306" xr:uid="{00000000-0004-0000-0000-000031010000}"/>
    <hyperlink ref="R104" r:id="rId307" xr:uid="{00000000-0004-0000-0000-000032010000}"/>
    <hyperlink ref="S104" r:id="rId308" xr:uid="{00000000-0004-0000-0000-000033010000}"/>
    <hyperlink ref="T104" r:id="rId309" xr:uid="{00000000-0004-0000-0000-000034010000}"/>
    <hyperlink ref="R105" r:id="rId310" xr:uid="{00000000-0004-0000-0000-000035010000}"/>
    <hyperlink ref="S105" r:id="rId311" xr:uid="{00000000-0004-0000-0000-000036010000}"/>
    <hyperlink ref="T105" r:id="rId312" xr:uid="{00000000-0004-0000-0000-000037010000}"/>
    <hyperlink ref="R106" r:id="rId313" xr:uid="{00000000-0004-0000-0000-000038010000}"/>
    <hyperlink ref="S106" r:id="rId314" xr:uid="{00000000-0004-0000-0000-000039010000}"/>
    <hyperlink ref="T106" r:id="rId315" xr:uid="{00000000-0004-0000-0000-00003A010000}"/>
    <hyperlink ref="R107" r:id="rId316" xr:uid="{00000000-0004-0000-0000-00003B010000}"/>
    <hyperlink ref="S107" r:id="rId317" xr:uid="{00000000-0004-0000-0000-00003C010000}"/>
    <hyperlink ref="T107" r:id="rId318" xr:uid="{00000000-0004-0000-0000-00003D010000}"/>
    <hyperlink ref="R108" r:id="rId319" xr:uid="{00000000-0004-0000-0000-00003E010000}"/>
    <hyperlink ref="S108" r:id="rId320" xr:uid="{00000000-0004-0000-0000-00003F010000}"/>
    <hyperlink ref="T108" r:id="rId321" xr:uid="{00000000-0004-0000-0000-000040010000}"/>
    <hyperlink ref="R109" r:id="rId322" xr:uid="{00000000-0004-0000-0000-000041010000}"/>
    <hyperlink ref="S109" r:id="rId323" xr:uid="{00000000-0004-0000-0000-000042010000}"/>
    <hyperlink ref="T109" r:id="rId324" xr:uid="{00000000-0004-0000-0000-000043010000}"/>
    <hyperlink ref="R110" r:id="rId325" xr:uid="{00000000-0004-0000-0000-000044010000}"/>
    <hyperlink ref="S110" r:id="rId326" xr:uid="{00000000-0004-0000-0000-000045010000}"/>
    <hyperlink ref="T110" r:id="rId327" xr:uid="{00000000-0004-0000-0000-000046010000}"/>
    <hyperlink ref="R111" r:id="rId328" xr:uid="{00000000-0004-0000-0000-000047010000}"/>
    <hyperlink ref="S111" r:id="rId329" xr:uid="{00000000-0004-0000-0000-000048010000}"/>
    <hyperlink ref="T111" r:id="rId330" xr:uid="{00000000-0004-0000-0000-000049010000}"/>
    <hyperlink ref="R112" r:id="rId331" xr:uid="{00000000-0004-0000-0000-00004A010000}"/>
    <hyperlink ref="S112" r:id="rId332" xr:uid="{00000000-0004-0000-0000-00004B010000}"/>
    <hyperlink ref="T112" r:id="rId333" xr:uid="{00000000-0004-0000-0000-00004C010000}"/>
    <hyperlink ref="R113" r:id="rId334" xr:uid="{00000000-0004-0000-0000-00004D010000}"/>
    <hyperlink ref="S113" r:id="rId335" xr:uid="{00000000-0004-0000-0000-00004E010000}"/>
    <hyperlink ref="T113" r:id="rId336" xr:uid="{00000000-0004-0000-0000-00004F010000}"/>
    <hyperlink ref="R114" r:id="rId337" xr:uid="{00000000-0004-0000-0000-000050010000}"/>
    <hyperlink ref="S114" r:id="rId338" xr:uid="{00000000-0004-0000-0000-000051010000}"/>
    <hyperlink ref="T114" r:id="rId339" xr:uid="{00000000-0004-0000-0000-000052010000}"/>
    <hyperlink ref="R115" r:id="rId340" xr:uid="{00000000-0004-0000-0000-000053010000}"/>
    <hyperlink ref="S115" r:id="rId341" xr:uid="{00000000-0004-0000-0000-000054010000}"/>
    <hyperlink ref="T115" r:id="rId342" xr:uid="{00000000-0004-0000-0000-000055010000}"/>
    <hyperlink ref="R116" r:id="rId343" xr:uid="{00000000-0004-0000-0000-000056010000}"/>
    <hyperlink ref="S116" r:id="rId344" xr:uid="{00000000-0004-0000-0000-000057010000}"/>
    <hyperlink ref="T116" r:id="rId345" xr:uid="{00000000-0004-0000-0000-000058010000}"/>
    <hyperlink ref="R117" r:id="rId346" xr:uid="{00000000-0004-0000-0000-000059010000}"/>
    <hyperlink ref="S117" r:id="rId347" xr:uid="{00000000-0004-0000-0000-00005A010000}"/>
    <hyperlink ref="T117" r:id="rId348" xr:uid="{00000000-0004-0000-0000-00005B010000}"/>
    <hyperlink ref="R118" r:id="rId349" xr:uid="{00000000-0004-0000-0000-00005C010000}"/>
    <hyperlink ref="S118" r:id="rId350" xr:uid="{00000000-0004-0000-0000-00005D010000}"/>
    <hyperlink ref="T118" r:id="rId351" xr:uid="{00000000-0004-0000-0000-00005E010000}"/>
    <hyperlink ref="R119" r:id="rId352" xr:uid="{00000000-0004-0000-0000-00005F010000}"/>
    <hyperlink ref="S119" r:id="rId353" xr:uid="{00000000-0004-0000-0000-000060010000}"/>
    <hyperlink ref="T119" r:id="rId354" xr:uid="{00000000-0004-0000-0000-000061010000}"/>
    <hyperlink ref="R120" r:id="rId355" xr:uid="{00000000-0004-0000-0000-000062010000}"/>
    <hyperlink ref="S120" r:id="rId356" xr:uid="{00000000-0004-0000-0000-000063010000}"/>
    <hyperlink ref="T120" r:id="rId357" xr:uid="{00000000-0004-0000-0000-000064010000}"/>
    <hyperlink ref="R121" r:id="rId358" xr:uid="{00000000-0004-0000-0000-000065010000}"/>
    <hyperlink ref="S121" r:id="rId359" xr:uid="{00000000-0004-0000-0000-000066010000}"/>
    <hyperlink ref="T121" r:id="rId360" xr:uid="{00000000-0004-0000-0000-000067010000}"/>
    <hyperlink ref="R122" r:id="rId361" xr:uid="{00000000-0004-0000-0000-000068010000}"/>
    <hyperlink ref="S122" r:id="rId362" xr:uid="{00000000-0004-0000-0000-000069010000}"/>
    <hyperlink ref="T122" r:id="rId363" xr:uid="{00000000-0004-0000-0000-00006A010000}"/>
    <hyperlink ref="R123" r:id="rId364" xr:uid="{00000000-0004-0000-0000-00006B010000}"/>
    <hyperlink ref="S123" r:id="rId365" xr:uid="{00000000-0004-0000-0000-00006C010000}"/>
    <hyperlink ref="T123" r:id="rId366" xr:uid="{00000000-0004-0000-0000-00006D010000}"/>
    <hyperlink ref="R124" r:id="rId367" xr:uid="{00000000-0004-0000-0000-00006E010000}"/>
    <hyperlink ref="S124" r:id="rId368" xr:uid="{00000000-0004-0000-0000-00006F010000}"/>
    <hyperlink ref="T124" r:id="rId369" xr:uid="{00000000-0004-0000-0000-000070010000}"/>
    <hyperlink ref="R125" r:id="rId370" xr:uid="{00000000-0004-0000-0000-000071010000}"/>
    <hyperlink ref="S125" r:id="rId371" xr:uid="{00000000-0004-0000-0000-000072010000}"/>
    <hyperlink ref="T125" r:id="rId372" xr:uid="{00000000-0004-0000-0000-000073010000}"/>
    <hyperlink ref="R126" r:id="rId373" xr:uid="{00000000-0004-0000-0000-000074010000}"/>
    <hyperlink ref="S126" r:id="rId374" xr:uid="{00000000-0004-0000-0000-000075010000}"/>
    <hyperlink ref="T126" r:id="rId375" xr:uid="{00000000-0004-0000-0000-000076010000}"/>
    <hyperlink ref="R127" r:id="rId376" xr:uid="{00000000-0004-0000-0000-000077010000}"/>
    <hyperlink ref="S127" r:id="rId377" xr:uid="{00000000-0004-0000-0000-000078010000}"/>
    <hyperlink ref="T127" r:id="rId378" xr:uid="{00000000-0004-0000-0000-000079010000}"/>
    <hyperlink ref="R128" r:id="rId379" xr:uid="{00000000-0004-0000-0000-00007A010000}"/>
    <hyperlink ref="S128" r:id="rId380" xr:uid="{00000000-0004-0000-0000-00007B010000}"/>
    <hyperlink ref="T128" r:id="rId381" xr:uid="{00000000-0004-0000-0000-00007C010000}"/>
    <hyperlink ref="R129" r:id="rId382" xr:uid="{00000000-0004-0000-0000-00007D010000}"/>
    <hyperlink ref="S129" r:id="rId383" xr:uid="{00000000-0004-0000-0000-00007E010000}"/>
    <hyperlink ref="T129" r:id="rId384" xr:uid="{00000000-0004-0000-0000-00007F010000}"/>
    <hyperlink ref="R130" r:id="rId385" xr:uid="{00000000-0004-0000-0000-000080010000}"/>
    <hyperlink ref="S130" r:id="rId386" xr:uid="{00000000-0004-0000-0000-000081010000}"/>
    <hyperlink ref="T130" r:id="rId387" xr:uid="{00000000-0004-0000-0000-000082010000}"/>
    <hyperlink ref="R131" r:id="rId388" xr:uid="{00000000-0004-0000-0000-000083010000}"/>
    <hyperlink ref="S131" r:id="rId389" xr:uid="{00000000-0004-0000-0000-000084010000}"/>
    <hyperlink ref="T131" r:id="rId390" xr:uid="{00000000-0004-0000-0000-000085010000}"/>
    <hyperlink ref="R132" r:id="rId391" xr:uid="{00000000-0004-0000-0000-000086010000}"/>
    <hyperlink ref="S132" r:id="rId392" xr:uid="{00000000-0004-0000-0000-000087010000}"/>
    <hyperlink ref="T132" r:id="rId393" xr:uid="{00000000-0004-0000-0000-000088010000}"/>
    <hyperlink ref="R133" r:id="rId394" xr:uid="{00000000-0004-0000-0000-000089010000}"/>
    <hyperlink ref="S133" r:id="rId395" xr:uid="{00000000-0004-0000-0000-00008A010000}"/>
    <hyperlink ref="T133" r:id="rId396" xr:uid="{00000000-0004-0000-0000-00008B010000}"/>
    <hyperlink ref="R134" r:id="rId397" xr:uid="{00000000-0004-0000-0000-00008C010000}"/>
    <hyperlink ref="S134" r:id="rId398" xr:uid="{00000000-0004-0000-0000-00008D010000}"/>
    <hyperlink ref="T134" r:id="rId399" xr:uid="{00000000-0004-0000-0000-00008E010000}"/>
    <hyperlink ref="R135" r:id="rId400" xr:uid="{00000000-0004-0000-0000-00008F010000}"/>
    <hyperlink ref="S135" r:id="rId401" xr:uid="{00000000-0004-0000-0000-000090010000}"/>
    <hyperlink ref="T135" r:id="rId402" xr:uid="{00000000-0004-0000-0000-000091010000}"/>
    <hyperlink ref="R136" r:id="rId403" xr:uid="{00000000-0004-0000-0000-000092010000}"/>
    <hyperlink ref="S136" r:id="rId404" xr:uid="{00000000-0004-0000-0000-000093010000}"/>
    <hyperlink ref="T136" r:id="rId405" xr:uid="{00000000-0004-0000-0000-000094010000}"/>
    <hyperlink ref="R137" r:id="rId406" xr:uid="{00000000-0004-0000-0000-000095010000}"/>
    <hyperlink ref="S137" r:id="rId407" xr:uid="{00000000-0004-0000-0000-000096010000}"/>
    <hyperlink ref="T137" r:id="rId408" xr:uid="{00000000-0004-0000-0000-000097010000}"/>
    <hyperlink ref="R138" r:id="rId409" xr:uid="{00000000-0004-0000-0000-000098010000}"/>
    <hyperlink ref="S138" r:id="rId410" xr:uid="{00000000-0004-0000-0000-000099010000}"/>
    <hyperlink ref="T138" r:id="rId411" xr:uid="{00000000-0004-0000-0000-00009A010000}"/>
    <hyperlink ref="R139" r:id="rId412" xr:uid="{00000000-0004-0000-0000-00009B010000}"/>
    <hyperlink ref="S139" r:id="rId413" xr:uid="{00000000-0004-0000-0000-00009C010000}"/>
    <hyperlink ref="T139" r:id="rId414" xr:uid="{00000000-0004-0000-0000-00009D010000}"/>
    <hyperlink ref="R140" r:id="rId415" xr:uid="{00000000-0004-0000-0000-00009E010000}"/>
    <hyperlink ref="S140" r:id="rId416" xr:uid="{00000000-0004-0000-0000-00009F010000}"/>
    <hyperlink ref="T140" r:id="rId417" xr:uid="{00000000-0004-0000-0000-0000A0010000}"/>
    <hyperlink ref="R141" r:id="rId418" xr:uid="{00000000-0004-0000-0000-0000A1010000}"/>
    <hyperlink ref="S141" r:id="rId419" xr:uid="{00000000-0004-0000-0000-0000A2010000}"/>
    <hyperlink ref="T141" r:id="rId420" xr:uid="{00000000-0004-0000-0000-0000A3010000}"/>
    <hyperlink ref="R142" r:id="rId421" xr:uid="{00000000-0004-0000-0000-0000A4010000}"/>
    <hyperlink ref="S142" r:id="rId422" xr:uid="{00000000-0004-0000-0000-0000A5010000}"/>
    <hyperlink ref="T142" r:id="rId423" xr:uid="{00000000-0004-0000-0000-0000A6010000}"/>
    <hyperlink ref="R143" r:id="rId424" xr:uid="{00000000-0004-0000-0000-0000A7010000}"/>
    <hyperlink ref="S143" r:id="rId425" xr:uid="{00000000-0004-0000-0000-0000A8010000}"/>
    <hyperlink ref="T143" r:id="rId426" xr:uid="{00000000-0004-0000-0000-0000A9010000}"/>
    <hyperlink ref="R144" r:id="rId427" xr:uid="{00000000-0004-0000-0000-0000AA010000}"/>
    <hyperlink ref="S144" r:id="rId428" xr:uid="{00000000-0004-0000-0000-0000AB010000}"/>
    <hyperlink ref="T144" r:id="rId429" xr:uid="{00000000-0004-0000-0000-0000AC010000}"/>
    <hyperlink ref="R145" r:id="rId430" xr:uid="{00000000-0004-0000-0000-0000AD010000}"/>
    <hyperlink ref="S145" r:id="rId431" xr:uid="{00000000-0004-0000-0000-0000AE010000}"/>
    <hyperlink ref="T145" r:id="rId432" xr:uid="{00000000-0004-0000-0000-0000AF010000}"/>
    <hyperlink ref="R146" r:id="rId433" xr:uid="{00000000-0004-0000-0000-0000B0010000}"/>
    <hyperlink ref="S146" r:id="rId434" xr:uid="{00000000-0004-0000-0000-0000B1010000}"/>
    <hyperlink ref="T146" r:id="rId435" xr:uid="{00000000-0004-0000-0000-0000B2010000}"/>
    <hyperlink ref="R147" r:id="rId436" xr:uid="{00000000-0004-0000-0000-0000B3010000}"/>
    <hyperlink ref="S147" r:id="rId437" xr:uid="{00000000-0004-0000-0000-0000B4010000}"/>
    <hyperlink ref="T147" r:id="rId438" xr:uid="{00000000-0004-0000-0000-0000B5010000}"/>
    <hyperlink ref="R148" r:id="rId439" xr:uid="{00000000-0004-0000-0000-0000B6010000}"/>
    <hyperlink ref="S148" r:id="rId440" xr:uid="{00000000-0004-0000-0000-0000B7010000}"/>
    <hyperlink ref="T148" r:id="rId441" xr:uid="{00000000-0004-0000-0000-0000B8010000}"/>
    <hyperlink ref="R149" r:id="rId442" xr:uid="{00000000-0004-0000-0000-0000B9010000}"/>
    <hyperlink ref="S149" r:id="rId443" xr:uid="{00000000-0004-0000-0000-0000BA010000}"/>
    <hyperlink ref="T149" r:id="rId444" xr:uid="{00000000-0004-0000-0000-0000BB010000}"/>
    <hyperlink ref="R150" r:id="rId445" xr:uid="{00000000-0004-0000-0000-0000BC010000}"/>
    <hyperlink ref="S150" r:id="rId446" xr:uid="{00000000-0004-0000-0000-0000BD010000}"/>
    <hyperlink ref="T150" r:id="rId447" xr:uid="{00000000-0004-0000-0000-0000BE010000}"/>
    <hyperlink ref="R151" r:id="rId448" xr:uid="{00000000-0004-0000-0000-0000BF010000}"/>
    <hyperlink ref="S151" r:id="rId449" xr:uid="{00000000-0004-0000-0000-0000C0010000}"/>
    <hyperlink ref="T151" r:id="rId450" xr:uid="{00000000-0004-0000-0000-0000C1010000}"/>
    <hyperlink ref="R152" r:id="rId451" xr:uid="{00000000-0004-0000-0000-0000C2010000}"/>
    <hyperlink ref="S152" r:id="rId452" xr:uid="{00000000-0004-0000-0000-0000C3010000}"/>
    <hyperlink ref="T152" r:id="rId453" xr:uid="{00000000-0004-0000-0000-0000C4010000}"/>
    <hyperlink ref="R153" r:id="rId454" xr:uid="{00000000-0004-0000-0000-0000C5010000}"/>
    <hyperlink ref="S153" r:id="rId455" xr:uid="{00000000-0004-0000-0000-0000C6010000}"/>
    <hyperlink ref="T153" r:id="rId456" xr:uid="{00000000-0004-0000-0000-0000C7010000}"/>
    <hyperlink ref="R154" r:id="rId457" xr:uid="{00000000-0004-0000-0000-0000C8010000}"/>
    <hyperlink ref="S154" r:id="rId458" xr:uid="{00000000-0004-0000-0000-0000C9010000}"/>
    <hyperlink ref="T154" r:id="rId459" xr:uid="{00000000-0004-0000-0000-0000CA010000}"/>
    <hyperlink ref="R155" r:id="rId460" xr:uid="{00000000-0004-0000-0000-0000CB010000}"/>
    <hyperlink ref="S155" r:id="rId461" xr:uid="{00000000-0004-0000-0000-0000CC010000}"/>
    <hyperlink ref="T155" r:id="rId462" xr:uid="{00000000-0004-0000-0000-0000CD010000}"/>
    <hyperlink ref="R156" r:id="rId463" xr:uid="{00000000-0004-0000-0000-0000CE010000}"/>
    <hyperlink ref="S156" r:id="rId464" xr:uid="{00000000-0004-0000-0000-0000CF010000}"/>
    <hyperlink ref="T156" r:id="rId465" xr:uid="{00000000-0004-0000-0000-0000D0010000}"/>
    <hyperlink ref="R157" r:id="rId466" xr:uid="{00000000-0004-0000-0000-0000D1010000}"/>
    <hyperlink ref="S157" r:id="rId467" xr:uid="{00000000-0004-0000-0000-0000D2010000}"/>
    <hyperlink ref="T157" r:id="rId468" xr:uid="{00000000-0004-0000-0000-0000D3010000}"/>
    <hyperlink ref="R158" r:id="rId469" xr:uid="{00000000-0004-0000-0000-0000D4010000}"/>
    <hyperlink ref="S158" r:id="rId470" xr:uid="{00000000-0004-0000-0000-0000D5010000}"/>
    <hyperlink ref="T158" r:id="rId471" xr:uid="{00000000-0004-0000-0000-0000D6010000}"/>
    <hyperlink ref="R159" r:id="rId472" xr:uid="{00000000-0004-0000-0000-0000D7010000}"/>
    <hyperlink ref="S159" r:id="rId473" xr:uid="{00000000-0004-0000-0000-0000D8010000}"/>
    <hyperlink ref="T159" r:id="rId474" xr:uid="{00000000-0004-0000-0000-0000D9010000}"/>
    <hyperlink ref="R160" r:id="rId475" xr:uid="{00000000-0004-0000-0000-0000DA010000}"/>
    <hyperlink ref="S160" r:id="rId476" xr:uid="{00000000-0004-0000-0000-0000DB010000}"/>
    <hyperlink ref="T160" r:id="rId477" xr:uid="{00000000-0004-0000-0000-0000DC010000}"/>
    <hyperlink ref="R161" r:id="rId478" xr:uid="{00000000-0004-0000-0000-0000DD010000}"/>
    <hyperlink ref="S161" r:id="rId479" xr:uid="{00000000-0004-0000-0000-0000DE010000}"/>
    <hyperlink ref="T161" r:id="rId480" xr:uid="{00000000-0004-0000-0000-0000DF010000}"/>
    <hyperlink ref="R162" r:id="rId481" xr:uid="{00000000-0004-0000-0000-0000E0010000}"/>
    <hyperlink ref="S162" r:id="rId482" xr:uid="{00000000-0004-0000-0000-0000E1010000}"/>
    <hyperlink ref="T162" r:id="rId483" xr:uid="{00000000-0004-0000-0000-0000E2010000}"/>
    <hyperlink ref="R163" r:id="rId484" xr:uid="{00000000-0004-0000-0000-0000E3010000}"/>
    <hyperlink ref="S163" r:id="rId485" xr:uid="{00000000-0004-0000-0000-0000E4010000}"/>
    <hyperlink ref="T163" r:id="rId486" xr:uid="{00000000-0004-0000-0000-0000E5010000}"/>
    <hyperlink ref="R164" r:id="rId487" xr:uid="{00000000-0004-0000-0000-0000E6010000}"/>
    <hyperlink ref="S164" r:id="rId488" xr:uid="{00000000-0004-0000-0000-0000E7010000}"/>
    <hyperlink ref="T164" r:id="rId489" xr:uid="{00000000-0004-0000-0000-0000E8010000}"/>
    <hyperlink ref="R165" r:id="rId490" xr:uid="{00000000-0004-0000-0000-0000E9010000}"/>
    <hyperlink ref="S165" r:id="rId491" xr:uid="{00000000-0004-0000-0000-0000EA010000}"/>
    <hyperlink ref="T165" r:id="rId492" xr:uid="{00000000-0004-0000-0000-0000EB010000}"/>
    <hyperlink ref="R166" r:id="rId493" xr:uid="{00000000-0004-0000-0000-0000EC010000}"/>
    <hyperlink ref="S166" r:id="rId494" xr:uid="{00000000-0004-0000-0000-0000ED010000}"/>
    <hyperlink ref="T166" r:id="rId495" xr:uid="{00000000-0004-0000-0000-0000EE010000}"/>
    <hyperlink ref="R167" r:id="rId496" xr:uid="{00000000-0004-0000-0000-0000EF010000}"/>
    <hyperlink ref="S167" r:id="rId497" xr:uid="{00000000-0004-0000-0000-0000F0010000}"/>
    <hyperlink ref="T167" r:id="rId498" xr:uid="{00000000-0004-0000-0000-0000F1010000}"/>
    <hyperlink ref="R168" r:id="rId499" xr:uid="{00000000-0004-0000-0000-0000F2010000}"/>
    <hyperlink ref="S168" r:id="rId500" xr:uid="{00000000-0004-0000-0000-0000F3010000}"/>
    <hyperlink ref="T168" r:id="rId501" xr:uid="{00000000-0004-0000-0000-0000F4010000}"/>
    <hyperlink ref="R169" r:id="rId502" xr:uid="{00000000-0004-0000-0000-0000F5010000}"/>
    <hyperlink ref="S169" r:id="rId503" xr:uid="{00000000-0004-0000-0000-0000F6010000}"/>
    <hyperlink ref="T169" r:id="rId504" xr:uid="{00000000-0004-0000-0000-0000F7010000}"/>
    <hyperlink ref="R170" r:id="rId505" xr:uid="{00000000-0004-0000-0000-0000F8010000}"/>
    <hyperlink ref="S170" r:id="rId506" xr:uid="{00000000-0004-0000-0000-0000F9010000}"/>
    <hyperlink ref="T170" r:id="rId507" xr:uid="{00000000-0004-0000-0000-0000FA010000}"/>
    <hyperlink ref="R171" r:id="rId508" xr:uid="{00000000-0004-0000-0000-0000FB010000}"/>
    <hyperlink ref="S171" r:id="rId509" xr:uid="{00000000-0004-0000-0000-0000FC010000}"/>
    <hyperlink ref="T171" r:id="rId510" xr:uid="{00000000-0004-0000-0000-0000FD010000}"/>
    <hyperlink ref="R172" r:id="rId511" xr:uid="{00000000-0004-0000-0000-0000FE010000}"/>
    <hyperlink ref="S172" r:id="rId512" xr:uid="{00000000-0004-0000-0000-0000FF010000}"/>
    <hyperlink ref="T172" r:id="rId513" xr:uid="{00000000-0004-0000-0000-000000020000}"/>
    <hyperlink ref="R173" r:id="rId514" xr:uid="{00000000-0004-0000-0000-000001020000}"/>
    <hyperlink ref="S173" r:id="rId515" xr:uid="{00000000-0004-0000-0000-000002020000}"/>
    <hyperlink ref="T173" r:id="rId516" xr:uid="{00000000-0004-0000-0000-000003020000}"/>
    <hyperlink ref="R174" r:id="rId517" xr:uid="{00000000-0004-0000-0000-000004020000}"/>
    <hyperlink ref="S174" r:id="rId518" xr:uid="{00000000-0004-0000-0000-000005020000}"/>
    <hyperlink ref="T174" r:id="rId519" xr:uid="{00000000-0004-0000-0000-000006020000}"/>
    <hyperlink ref="R175" r:id="rId520" xr:uid="{00000000-0004-0000-0000-000007020000}"/>
    <hyperlink ref="S175" r:id="rId521" xr:uid="{00000000-0004-0000-0000-000008020000}"/>
    <hyperlink ref="T175" r:id="rId522" xr:uid="{00000000-0004-0000-0000-000009020000}"/>
    <hyperlink ref="R176" r:id="rId523" xr:uid="{00000000-0004-0000-0000-00000A020000}"/>
    <hyperlink ref="S176" r:id="rId524" xr:uid="{00000000-0004-0000-0000-00000B020000}"/>
    <hyperlink ref="T176" r:id="rId525" xr:uid="{00000000-0004-0000-0000-00000C020000}"/>
    <hyperlink ref="R177" r:id="rId526" xr:uid="{00000000-0004-0000-0000-00000D020000}"/>
    <hyperlink ref="S177" r:id="rId527" xr:uid="{00000000-0004-0000-0000-00000E020000}"/>
    <hyperlink ref="T177" r:id="rId528" xr:uid="{00000000-0004-0000-0000-00000F020000}"/>
    <hyperlink ref="R178" r:id="rId529" xr:uid="{00000000-0004-0000-0000-000010020000}"/>
    <hyperlink ref="S178" r:id="rId530" xr:uid="{00000000-0004-0000-0000-000011020000}"/>
    <hyperlink ref="T178" r:id="rId531" xr:uid="{00000000-0004-0000-0000-000012020000}"/>
    <hyperlink ref="R179" r:id="rId532" xr:uid="{00000000-0004-0000-0000-000013020000}"/>
    <hyperlink ref="S179" r:id="rId533" xr:uid="{00000000-0004-0000-0000-000014020000}"/>
    <hyperlink ref="T179" r:id="rId534" xr:uid="{00000000-0004-0000-0000-000015020000}"/>
    <hyperlink ref="R180" r:id="rId535" xr:uid="{00000000-0004-0000-0000-000016020000}"/>
    <hyperlink ref="S180" r:id="rId536" xr:uid="{00000000-0004-0000-0000-000017020000}"/>
    <hyperlink ref="T180" r:id="rId537" xr:uid="{00000000-0004-0000-0000-000018020000}"/>
    <hyperlink ref="R181" r:id="rId538" xr:uid="{00000000-0004-0000-0000-000019020000}"/>
    <hyperlink ref="S181" r:id="rId539" xr:uid="{00000000-0004-0000-0000-00001A020000}"/>
    <hyperlink ref="T181" r:id="rId540" xr:uid="{00000000-0004-0000-0000-00001B020000}"/>
    <hyperlink ref="R182" r:id="rId541" xr:uid="{00000000-0004-0000-0000-00001C020000}"/>
    <hyperlink ref="S182" r:id="rId542" xr:uid="{00000000-0004-0000-0000-00001D020000}"/>
    <hyperlink ref="T182" r:id="rId543" xr:uid="{00000000-0004-0000-0000-00001E020000}"/>
    <hyperlink ref="R183" r:id="rId544" xr:uid="{00000000-0004-0000-0000-00001F020000}"/>
    <hyperlink ref="S183" r:id="rId545" xr:uid="{00000000-0004-0000-0000-000020020000}"/>
    <hyperlink ref="T183" r:id="rId546" xr:uid="{00000000-0004-0000-0000-000021020000}"/>
    <hyperlink ref="R184" r:id="rId547" xr:uid="{00000000-0004-0000-0000-000022020000}"/>
    <hyperlink ref="S184" r:id="rId548" xr:uid="{00000000-0004-0000-0000-000023020000}"/>
    <hyperlink ref="T184" r:id="rId549" xr:uid="{00000000-0004-0000-0000-000024020000}"/>
    <hyperlink ref="R185" r:id="rId550" xr:uid="{00000000-0004-0000-0000-000025020000}"/>
    <hyperlink ref="S185" r:id="rId551" xr:uid="{00000000-0004-0000-0000-000026020000}"/>
    <hyperlink ref="T185" r:id="rId552" xr:uid="{00000000-0004-0000-0000-000027020000}"/>
    <hyperlink ref="R186" r:id="rId553" xr:uid="{00000000-0004-0000-0000-000028020000}"/>
    <hyperlink ref="S186" r:id="rId554" xr:uid="{00000000-0004-0000-0000-000029020000}"/>
    <hyperlink ref="T186" r:id="rId555" xr:uid="{00000000-0004-0000-0000-00002A020000}"/>
    <hyperlink ref="R187" r:id="rId556" xr:uid="{00000000-0004-0000-0000-00002B020000}"/>
    <hyperlink ref="S187" r:id="rId557" xr:uid="{00000000-0004-0000-0000-00002C020000}"/>
    <hyperlink ref="T187" r:id="rId558" xr:uid="{00000000-0004-0000-0000-00002D020000}"/>
    <hyperlink ref="R188" r:id="rId559" xr:uid="{00000000-0004-0000-0000-00002E020000}"/>
    <hyperlink ref="S188" r:id="rId560" xr:uid="{00000000-0004-0000-0000-00002F020000}"/>
    <hyperlink ref="T188" r:id="rId561" xr:uid="{00000000-0004-0000-0000-000030020000}"/>
    <hyperlink ref="R189" r:id="rId562" xr:uid="{00000000-0004-0000-0000-000031020000}"/>
    <hyperlink ref="S189" r:id="rId563" xr:uid="{00000000-0004-0000-0000-000032020000}"/>
    <hyperlink ref="T189" r:id="rId564" xr:uid="{00000000-0004-0000-0000-000033020000}"/>
    <hyperlink ref="R190" r:id="rId565" xr:uid="{00000000-0004-0000-0000-000034020000}"/>
    <hyperlink ref="S190" r:id="rId566" xr:uid="{00000000-0004-0000-0000-000035020000}"/>
    <hyperlink ref="T190" r:id="rId567" xr:uid="{00000000-0004-0000-0000-000036020000}"/>
    <hyperlink ref="R191" r:id="rId568" xr:uid="{00000000-0004-0000-0000-000037020000}"/>
    <hyperlink ref="S191" r:id="rId569" xr:uid="{00000000-0004-0000-0000-000038020000}"/>
    <hyperlink ref="T191" r:id="rId570" xr:uid="{00000000-0004-0000-0000-000039020000}"/>
    <hyperlink ref="R192" r:id="rId571" xr:uid="{00000000-0004-0000-0000-00003A020000}"/>
    <hyperlink ref="S192" r:id="rId572" xr:uid="{00000000-0004-0000-0000-00003B020000}"/>
    <hyperlink ref="T192" r:id="rId573" xr:uid="{00000000-0004-0000-0000-00003C020000}"/>
    <hyperlink ref="R193" r:id="rId574" xr:uid="{00000000-0004-0000-0000-00003D020000}"/>
    <hyperlink ref="S193" r:id="rId575" xr:uid="{00000000-0004-0000-0000-00003E020000}"/>
    <hyperlink ref="T193" r:id="rId576" xr:uid="{00000000-0004-0000-0000-00003F020000}"/>
    <hyperlink ref="R194" r:id="rId577" xr:uid="{00000000-0004-0000-0000-000040020000}"/>
    <hyperlink ref="S194" r:id="rId578" xr:uid="{00000000-0004-0000-0000-000041020000}"/>
    <hyperlink ref="T194" r:id="rId579" xr:uid="{00000000-0004-0000-0000-000042020000}"/>
    <hyperlink ref="R195" r:id="rId580" xr:uid="{00000000-0004-0000-0000-000043020000}"/>
    <hyperlink ref="S195" r:id="rId581" xr:uid="{00000000-0004-0000-0000-000044020000}"/>
    <hyperlink ref="T195" r:id="rId582" xr:uid="{00000000-0004-0000-0000-000045020000}"/>
    <hyperlink ref="R196" r:id="rId583" xr:uid="{00000000-0004-0000-0000-000046020000}"/>
    <hyperlink ref="S196" r:id="rId584" xr:uid="{00000000-0004-0000-0000-000047020000}"/>
    <hyperlink ref="T196" r:id="rId585" xr:uid="{00000000-0004-0000-0000-000048020000}"/>
    <hyperlink ref="R197" r:id="rId586" xr:uid="{00000000-0004-0000-0000-000049020000}"/>
    <hyperlink ref="S197" r:id="rId587" xr:uid="{00000000-0004-0000-0000-00004A020000}"/>
    <hyperlink ref="T197" r:id="rId588" xr:uid="{00000000-0004-0000-0000-00004B020000}"/>
    <hyperlink ref="R198" r:id="rId589" xr:uid="{00000000-0004-0000-0000-00004C020000}"/>
    <hyperlink ref="S198" r:id="rId590" xr:uid="{00000000-0004-0000-0000-00004D020000}"/>
    <hyperlink ref="T198" r:id="rId591" xr:uid="{00000000-0004-0000-0000-00004E020000}"/>
    <hyperlink ref="R199" r:id="rId592" xr:uid="{00000000-0004-0000-0000-00004F020000}"/>
    <hyperlink ref="S199" r:id="rId593" xr:uid="{00000000-0004-0000-0000-000050020000}"/>
    <hyperlink ref="T199" r:id="rId594" xr:uid="{00000000-0004-0000-0000-000051020000}"/>
    <hyperlink ref="R200" r:id="rId595" xr:uid="{00000000-0004-0000-0000-000052020000}"/>
    <hyperlink ref="S200" r:id="rId596" xr:uid="{00000000-0004-0000-0000-000053020000}"/>
    <hyperlink ref="T200" r:id="rId597" xr:uid="{00000000-0004-0000-0000-000054020000}"/>
    <hyperlink ref="R201" r:id="rId598" xr:uid="{00000000-0004-0000-0000-000055020000}"/>
    <hyperlink ref="S201" r:id="rId599" xr:uid="{00000000-0004-0000-0000-000056020000}"/>
    <hyperlink ref="T201" r:id="rId600" xr:uid="{00000000-0004-0000-0000-000057020000}"/>
    <hyperlink ref="R202" r:id="rId601" xr:uid="{00000000-0004-0000-0000-000058020000}"/>
    <hyperlink ref="S202" r:id="rId602" xr:uid="{00000000-0004-0000-0000-000059020000}"/>
    <hyperlink ref="T202" r:id="rId603" xr:uid="{00000000-0004-0000-0000-00005A020000}"/>
    <hyperlink ref="R203" r:id="rId604" xr:uid="{00000000-0004-0000-0000-00005B020000}"/>
    <hyperlink ref="S203" r:id="rId605" xr:uid="{00000000-0004-0000-0000-00005C020000}"/>
    <hyperlink ref="T203" r:id="rId606" xr:uid="{00000000-0004-0000-0000-00005D020000}"/>
    <hyperlink ref="R204" r:id="rId607" xr:uid="{00000000-0004-0000-0000-00005E020000}"/>
    <hyperlink ref="S204" r:id="rId608" xr:uid="{00000000-0004-0000-0000-00005F020000}"/>
    <hyperlink ref="T204" r:id="rId609" xr:uid="{00000000-0004-0000-0000-000060020000}"/>
    <hyperlink ref="R205" r:id="rId610" xr:uid="{00000000-0004-0000-0000-000061020000}"/>
    <hyperlink ref="S205" r:id="rId611" xr:uid="{00000000-0004-0000-0000-000062020000}"/>
    <hyperlink ref="T205" r:id="rId612" xr:uid="{00000000-0004-0000-0000-000063020000}"/>
    <hyperlink ref="R206" r:id="rId613" xr:uid="{00000000-0004-0000-0000-000064020000}"/>
    <hyperlink ref="S206" r:id="rId614" xr:uid="{00000000-0004-0000-0000-000065020000}"/>
    <hyperlink ref="T206" r:id="rId615" xr:uid="{00000000-0004-0000-0000-000066020000}"/>
    <hyperlink ref="R207" r:id="rId616" xr:uid="{00000000-0004-0000-0000-000067020000}"/>
    <hyperlink ref="S207" r:id="rId617" xr:uid="{00000000-0004-0000-0000-000068020000}"/>
    <hyperlink ref="T207" r:id="rId618" xr:uid="{00000000-0004-0000-0000-000069020000}"/>
    <hyperlink ref="R208" r:id="rId619" xr:uid="{00000000-0004-0000-0000-00006A020000}"/>
    <hyperlink ref="S208" r:id="rId620" xr:uid="{00000000-0004-0000-0000-00006B020000}"/>
    <hyperlink ref="T208" r:id="rId621" xr:uid="{00000000-0004-0000-0000-00006C020000}"/>
    <hyperlink ref="R209" r:id="rId622" xr:uid="{00000000-0004-0000-0000-00006D020000}"/>
    <hyperlink ref="S209" r:id="rId623" xr:uid="{00000000-0004-0000-0000-00006E020000}"/>
    <hyperlink ref="T209" r:id="rId624" xr:uid="{00000000-0004-0000-0000-00006F020000}"/>
    <hyperlink ref="R210" r:id="rId625" xr:uid="{00000000-0004-0000-0000-000070020000}"/>
    <hyperlink ref="S210" r:id="rId626" xr:uid="{00000000-0004-0000-0000-000071020000}"/>
    <hyperlink ref="T210" r:id="rId627" xr:uid="{00000000-0004-0000-0000-000072020000}"/>
    <hyperlink ref="R211" r:id="rId628" xr:uid="{00000000-0004-0000-0000-000073020000}"/>
    <hyperlink ref="S211" r:id="rId629" xr:uid="{00000000-0004-0000-0000-000074020000}"/>
    <hyperlink ref="T211" r:id="rId630" xr:uid="{00000000-0004-0000-0000-000075020000}"/>
    <hyperlink ref="R212" r:id="rId631" xr:uid="{00000000-0004-0000-0000-000076020000}"/>
    <hyperlink ref="S212" r:id="rId632" xr:uid="{00000000-0004-0000-0000-000077020000}"/>
    <hyperlink ref="T212" r:id="rId633" xr:uid="{00000000-0004-0000-0000-000078020000}"/>
    <hyperlink ref="R213" r:id="rId634" xr:uid="{00000000-0004-0000-0000-000079020000}"/>
    <hyperlink ref="S213" r:id="rId635" xr:uid="{00000000-0004-0000-0000-00007A020000}"/>
    <hyperlink ref="T213" r:id="rId636" xr:uid="{00000000-0004-0000-0000-00007B020000}"/>
    <hyperlink ref="R214" r:id="rId637" xr:uid="{00000000-0004-0000-0000-00007C020000}"/>
    <hyperlink ref="S214" r:id="rId638" xr:uid="{00000000-0004-0000-0000-00007D020000}"/>
    <hyperlink ref="T214" r:id="rId639" xr:uid="{00000000-0004-0000-0000-00007E020000}"/>
    <hyperlink ref="R215" r:id="rId640" xr:uid="{00000000-0004-0000-0000-00007F020000}"/>
    <hyperlink ref="S215" r:id="rId641" xr:uid="{00000000-0004-0000-0000-000080020000}"/>
    <hyperlink ref="T215" r:id="rId642" xr:uid="{00000000-0004-0000-0000-000081020000}"/>
    <hyperlink ref="R216" r:id="rId643" xr:uid="{00000000-0004-0000-0000-000082020000}"/>
    <hyperlink ref="S216" r:id="rId644" xr:uid="{00000000-0004-0000-0000-000083020000}"/>
    <hyperlink ref="T216" r:id="rId645" xr:uid="{00000000-0004-0000-0000-000084020000}"/>
    <hyperlink ref="R217" r:id="rId646" xr:uid="{00000000-0004-0000-0000-000085020000}"/>
    <hyperlink ref="S217" r:id="rId647" xr:uid="{00000000-0004-0000-0000-000086020000}"/>
    <hyperlink ref="T217" r:id="rId648" xr:uid="{00000000-0004-0000-0000-000087020000}"/>
    <hyperlink ref="R218" r:id="rId649" xr:uid="{00000000-0004-0000-0000-000088020000}"/>
    <hyperlink ref="S218" r:id="rId650" xr:uid="{00000000-0004-0000-0000-000089020000}"/>
    <hyperlink ref="T218" r:id="rId651" xr:uid="{00000000-0004-0000-0000-00008A020000}"/>
    <hyperlink ref="R219" r:id="rId652" xr:uid="{00000000-0004-0000-0000-00008B020000}"/>
    <hyperlink ref="S219" r:id="rId653" xr:uid="{00000000-0004-0000-0000-00008C020000}"/>
    <hyperlink ref="T219" r:id="rId654" xr:uid="{00000000-0004-0000-0000-00008D020000}"/>
    <hyperlink ref="R220" r:id="rId655" xr:uid="{00000000-0004-0000-0000-00008E020000}"/>
    <hyperlink ref="S220" r:id="rId656" xr:uid="{00000000-0004-0000-0000-00008F020000}"/>
    <hyperlink ref="T220" r:id="rId657" xr:uid="{00000000-0004-0000-0000-000090020000}"/>
    <hyperlink ref="R221" r:id="rId658" xr:uid="{00000000-0004-0000-0000-000091020000}"/>
    <hyperlink ref="S221" r:id="rId659" xr:uid="{00000000-0004-0000-0000-000092020000}"/>
    <hyperlink ref="T221" r:id="rId660" xr:uid="{00000000-0004-0000-0000-000093020000}"/>
    <hyperlink ref="R222" r:id="rId661" xr:uid="{00000000-0004-0000-0000-000094020000}"/>
    <hyperlink ref="S222" r:id="rId662" xr:uid="{00000000-0004-0000-0000-000095020000}"/>
    <hyperlink ref="T222" r:id="rId663" xr:uid="{00000000-0004-0000-0000-000096020000}"/>
    <hyperlink ref="R223" r:id="rId664" xr:uid="{00000000-0004-0000-0000-000097020000}"/>
    <hyperlink ref="S223" r:id="rId665" xr:uid="{00000000-0004-0000-0000-000098020000}"/>
    <hyperlink ref="T223" r:id="rId666" xr:uid="{00000000-0004-0000-0000-000099020000}"/>
    <hyperlink ref="R224" r:id="rId667" xr:uid="{00000000-0004-0000-0000-00009A020000}"/>
    <hyperlink ref="S224" r:id="rId668" xr:uid="{00000000-0004-0000-0000-00009B020000}"/>
    <hyperlink ref="T224" r:id="rId669" xr:uid="{00000000-0004-0000-0000-00009C020000}"/>
    <hyperlink ref="R225" r:id="rId670" xr:uid="{00000000-0004-0000-0000-00009D020000}"/>
    <hyperlink ref="S225" r:id="rId671" xr:uid="{00000000-0004-0000-0000-00009E020000}"/>
    <hyperlink ref="T225" r:id="rId672" xr:uid="{00000000-0004-0000-0000-00009F020000}"/>
    <hyperlink ref="R226" r:id="rId673" xr:uid="{00000000-0004-0000-0000-0000A0020000}"/>
    <hyperlink ref="S226" r:id="rId674" xr:uid="{00000000-0004-0000-0000-0000A1020000}"/>
    <hyperlink ref="T226" r:id="rId675" xr:uid="{00000000-0004-0000-0000-0000A2020000}"/>
    <hyperlink ref="R227" r:id="rId676" xr:uid="{00000000-0004-0000-0000-0000A3020000}"/>
    <hyperlink ref="S227" r:id="rId677" xr:uid="{00000000-0004-0000-0000-0000A4020000}"/>
    <hyperlink ref="T227" r:id="rId678" xr:uid="{00000000-0004-0000-0000-0000A5020000}"/>
    <hyperlink ref="R228" r:id="rId679" xr:uid="{00000000-0004-0000-0000-0000A6020000}"/>
    <hyperlink ref="S228" r:id="rId680" xr:uid="{00000000-0004-0000-0000-0000A7020000}"/>
    <hyperlink ref="T228" r:id="rId681" xr:uid="{00000000-0004-0000-0000-0000A8020000}"/>
    <hyperlink ref="R229" r:id="rId682" xr:uid="{00000000-0004-0000-0000-0000A9020000}"/>
    <hyperlink ref="S229" r:id="rId683" xr:uid="{00000000-0004-0000-0000-0000AA020000}"/>
    <hyperlink ref="T229" r:id="rId684" xr:uid="{00000000-0004-0000-0000-0000AB020000}"/>
    <hyperlink ref="R230" r:id="rId685" xr:uid="{00000000-0004-0000-0000-0000AC020000}"/>
    <hyperlink ref="S230" r:id="rId686" xr:uid="{00000000-0004-0000-0000-0000AD020000}"/>
    <hyperlink ref="T230" r:id="rId687" xr:uid="{00000000-0004-0000-0000-0000AE020000}"/>
    <hyperlink ref="R231" r:id="rId688" xr:uid="{00000000-0004-0000-0000-0000AF020000}"/>
    <hyperlink ref="S231" r:id="rId689" xr:uid="{00000000-0004-0000-0000-0000B0020000}"/>
    <hyperlink ref="T231" r:id="rId690" xr:uid="{00000000-0004-0000-0000-0000B1020000}"/>
    <hyperlink ref="R232" r:id="rId691" xr:uid="{00000000-0004-0000-0000-0000B2020000}"/>
    <hyperlink ref="S232" r:id="rId692" xr:uid="{00000000-0004-0000-0000-0000B3020000}"/>
    <hyperlink ref="T232" r:id="rId693" xr:uid="{00000000-0004-0000-0000-0000B4020000}"/>
    <hyperlink ref="R233" r:id="rId694" xr:uid="{00000000-0004-0000-0000-0000B5020000}"/>
    <hyperlink ref="S233" r:id="rId695" xr:uid="{00000000-0004-0000-0000-0000B6020000}"/>
    <hyperlink ref="T233" r:id="rId696" xr:uid="{00000000-0004-0000-0000-0000B7020000}"/>
    <hyperlink ref="R234" r:id="rId697" xr:uid="{00000000-0004-0000-0000-0000B8020000}"/>
    <hyperlink ref="S234" r:id="rId698" xr:uid="{00000000-0004-0000-0000-0000B9020000}"/>
    <hyperlink ref="T234" r:id="rId699" xr:uid="{00000000-0004-0000-0000-0000BA020000}"/>
    <hyperlink ref="R235" r:id="rId700" xr:uid="{00000000-0004-0000-0000-0000BB020000}"/>
    <hyperlink ref="S235" r:id="rId701" xr:uid="{00000000-0004-0000-0000-0000BC020000}"/>
    <hyperlink ref="T235" r:id="rId702" xr:uid="{00000000-0004-0000-0000-0000BD020000}"/>
    <hyperlink ref="R236" r:id="rId703" xr:uid="{00000000-0004-0000-0000-0000BE020000}"/>
    <hyperlink ref="S236" r:id="rId704" xr:uid="{00000000-0004-0000-0000-0000BF020000}"/>
    <hyperlink ref="T236" r:id="rId705" xr:uid="{00000000-0004-0000-0000-0000C0020000}"/>
    <hyperlink ref="R237" r:id="rId706" xr:uid="{00000000-0004-0000-0000-0000C1020000}"/>
    <hyperlink ref="S237" r:id="rId707" xr:uid="{00000000-0004-0000-0000-0000C2020000}"/>
    <hyperlink ref="T237" r:id="rId708" xr:uid="{00000000-0004-0000-0000-0000C3020000}"/>
    <hyperlink ref="R238" r:id="rId709" xr:uid="{00000000-0004-0000-0000-0000C4020000}"/>
    <hyperlink ref="S238" r:id="rId710" xr:uid="{00000000-0004-0000-0000-0000C5020000}"/>
    <hyperlink ref="T238" r:id="rId711" xr:uid="{00000000-0004-0000-0000-0000C6020000}"/>
    <hyperlink ref="R239" r:id="rId712" xr:uid="{00000000-0004-0000-0000-0000C7020000}"/>
    <hyperlink ref="S239" r:id="rId713" xr:uid="{00000000-0004-0000-0000-0000C8020000}"/>
    <hyperlink ref="T239" r:id="rId714" xr:uid="{00000000-0004-0000-0000-0000C9020000}"/>
    <hyperlink ref="R240" r:id="rId715" xr:uid="{00000000-0004-0000-0000-0000CA020000}"/>
    <hyperlink ref="S240" r:id="rId716" xr:uid="{00000000-0004-0000-0000-0000CB020000}"/>
    <hyperlink ref="T240" r:id="rId717" xr:uid="{00000000-0004-0000-0000-0000CC020000}"/>
    <hyperlink ref="R241" r:id="rId718" xr:uid="{00000000-0004-0000-0000-0000CD020000}"/>
    <hyperlink ref="S241" r:id="rId719" xr:uid="{00000000-0004-0000-0000-0000CE020000}"/>
    <hyperlink ref="T241" r:id="rId720" xr:uid="{00000000-0004-0000-0000-0000CF020000}"/>
    <hyperlink ref="R242" r:id="rId721" xr:uid="{00000000-0004-0000-0000-0000D0020000}"/>
    <hyperlink ref="S242" r:id="rId722" xr:uid="{00000000-0004-0000-0000-0000D1020000}"/>
    <hyperlink ref="T242" r:id="rId723" xr:uid="{00000000-0004-0000-0000-0000D2020000}"/>
    <hyperlink ref="R243" r:id="rId724" xr:uid="{00000000-0004-0000-0000-0000D3020000}"/>
    <hyperlink ref="S243" r:id="rId725" xr:uid="{00000000-0004-0000-0000-0000D4020000}"/>
    <hyperlink ref="T243" r:id="rId726" xr:uid="{00000000-0004-0000-0000-0000D5020000}"/>
    <hyperlink ref="R244" r:id="rId727" xr:uid="{00000000-0004-0000-0000-0000D6020000}"/>
    <hyperlink ref="S244" r:id="rId728" xr:uid="{00000000-0004-0000-0000-0000D7020000}"/>
    <hyperlink ref="T244" r:id="rId729" xr:uid="{00000000-0004-0000-0000-0000D8020000}"/>
    <hyperlink ref="R245" r:id="rId730" xr:uid="{00000000-0004-0000-0000-0000D9020000}"/>
    <hyperlink ref="S245" r:id="rId731" xr:uid="{00000000-0004-0000-0000-0000DA020000}"/>
    <hyperlink ref="T245" r:id="rId732" xr:uid="{00000000-0004-0000-0000-0000DB020000}"/>
    <hyperlink ref="R246" r:id="rId733" xr:uid="{00000000-0004-0000-0000-0000DC020000}"/>
    <hyperlink ref="S246" r:id="rId734" xr:uid="{00000000-0004-0000-0000-0000DD020000}"/>
    <hyperlink ref="T246" r:id="rId735" xr:uid="{00000000-0004-0000-0000-0000DE020000}"/>
    <hyperlink ref="R247" r:id="rId736" xr:uid="{00000000-0004-0000-0000-0000DF020000}"/>
    <hyperlink ref="S247" r:id="rId737" xr:uid="{00000000-0004-0000-0000-0000E0020000}"/>
    <hyperlink ref="T247" r:id="rId738" xr:uid="{00000000-0004-0000-0000-0000E1020000}"/>
    <hyperlink ref="R248" r:id="rId739" xr:uid="{00000000-0004-0000-0000-0000E2020000}"/>
    <hyperlink ref="S248" r:id="rId740" xr:uid="{00000000-0004-0000-0000-0000E3020000}"/>
    <hyperlink ref="T248" r:id="rId741" xr:uid="{00000000-0004-0000-0000-0000E4020000}"/>
    <hyperlink ref="R249" r:id="rId742" xr:uid="{00000000-0004-0000-0000-0000E5020000}"/>
    <hyperlink ref="S249" r:id="rId743" xr:uid="{00000000-0004-0000-0000-0000E6020000}"/>
    <hyperlink ref="T249" r:id="rId744" xr:uid="{00000000-0004-0000-0000-0000E7020000}"/>
    <hyperlink ref="R250" r:id="rId745" xr:uid="{00000000-0004-0000-0000-0000E8020000}"/>
    <hyperlink ref="S250" r:id="rId746" xr:uid="{00000000-0004-0000-0000-0000E9020000}"/>
    <hyperlink ref="T250" r:id="rId747" xr:uid="{00000000-0004-0000-0000-0000EA020000}"/>
    <hyperlink ref="R251" r:id="rId748" xr:uid="{00000000-0004-0000-0000-0000EB020000}"/>
    <hyperlink ref="S251" r:id="rId749" xr:uid="{00000000-0004-0000-0000-0000EC020000}"/>
    <hyperlink ref="T251" r:id="rId750" xr:uid="{00000000-0004-0000-0000-0000ED020000}"/>
    <hyperlink ref="R252" r:id="rId751" xr:uid="{00000000-0004-0000-0000-0000EE020000}"/>
    <hyperlink ref="S252" r:id="rId752" xr:uid="{00000000-0004-0000-0000-0000EF020000}"/>
    <hyperlink ref="T252" r:id="rId753" xr:uid="{00000000-0004-0000-0000-0000F0020000}"/>
    <hyperlink ref="R253" r:id="rId754" xr:uid="{00000000-0004-0000-0000-0000F1020000}"/>
    <hyperlink ref="S253" r:id="rId755" xr:uid="{00000000-0004-0000-0000-0000F2020000}"/>
    <hyperlink ref="T253" r:id="rId756" xr:uid="{00000000-0004-0000-0000-0000F3020000}"/>
    <hyperlink ref="R254" r:id="rId757" xr:uid="{00000000-0004-0000-0000-0000F4020000}"/>
    <hyperlink ref="S254" r:id="rId758" xr:uid="{00000000-0004-0000-0000-0000F5020000}"/>
    <hyperlink ref="T254" r:id="rId759" xr:uid="{00000000-0004-0000-0000-0000F6020000}"/>
    <hyperlink ref="R255" r:id="rId760" xr:uid="{00000000-0004-0000-0000-0000F7020000}"/>
    <hyperlink ref="S255" r:id="rId761" xr:uid="{00000000-0004-0000-0000-0000F8020000}"/>
    <hyperlink ref="T255" r:id="rId762" xr:uid="{00000000-0004-0000-0000-0000F9020000}"/>
    <hyperlink ref="R256" r:id="rId763" xr:uid="{00000000-0004-0000-0000-0000FA020000}"/>
    <hyperlink ref="S256" r:id="rId764" xr:uid="{00000000-0004-0000-0000-0000FB020000}"/>
    <hyperlink ref="T256" r:id="rId765" xr:uid="{00000000-0004-0000-0000-0000FC020000}"/>
    <hyperlink ref="R257" r:id="rId766" xr:uid="{00000000-0004-0000-0000-0000FD020000}"/>
    <hyperlink ref="S257" r:id="rId767" xr:uid="{00000000-0004-0000-0000-0000FE020000}"/>
    <hyperlink ref="T257" r:id="rId768" xr:uid="{00000000-0004-0000-0000-0000FF020000}"/>
    <hyperlink ref="R258" r:id="rId769" xr:uid="{00000000-0004-0000-0000-000000030000}"/>
    <hyperlink ref="S258" r:id="rId770" xr:uid="{00000000-0004-0000-0000-000001030000}"/>
    <hyperlink ref="T258" r:id="rId771" xr:uid="{00000000-0004-0000-0000-000002030000}"/>
    <hyperlink ref="R259" r:id="rId772" xr:uid="{00000000-0004-0000-0000-000003030000}"/>
    <hyperlink ref="S259" r:id="rId773" xr:uid="{00000000-0004-0000-0000-000004030000}"/>
    <hyperlink ref="T259" r:id="rId774" xr:uid="{00000000-0004-0000-0000-000005030000}"/>
    <hyperlink ref="R260" r:id="rId775" xr:uid="{00000000-0004-0000-0000-000006030000}"/>
    <hyperlink ref="S260" r:id="rId776" xr:uid="{00000000-0004-0000-0000-000007030000}"/>
    <hyperlink ref="T260" r:id="rId777" xr:uid="{00000000-0004-0000-0000-000008030000}"/>
    <hyperlink ref="R261" r:id="rId778" xr:uid="{00000000-0004-0000-0000-000009030000}"/>
    <hyperlink ref="S261" r:id="rId779" xr:uid="{00000000-0004-0000-0000-00000A030000}"/>
    <hyperlink ref="T261" r:id="rId780" xr:uid="{00000000-0004-0000-0000-00000B030000}"/>
    <hyperlink ref="R262" r:id="rId781" xr:uid="{00000000-0004-0000-0000-00000C030000}"/>
    <hyperlink ref="S262" r:id="rId782" xr:uid="{00000000-0004-0000-0000-00000D030000}"/>
    <hyperlink ref="T262" r:id="rId783" xr:uid="{00000000-0004-0000-0000-00000E030000}"/>
    <hyperlink ref="R263" r:id="rId784" xr:uid="{00000000-0004-0000-0000-00000F030000}"/>
    <hyperlink ref="S263" r:id="rId785" xr:uid="{00000000-0004-0000-0000-000010030000}"/>
    <hyperlink ref="T263" r:id="rId786" xr:uid="{00000000-0004-0000-0000-000011030000}"/>
    <hyperlink ref="R264" r:id="rId787" xr:uid="{00000000-0004-0000-0000-000012030000}"/>
    <hyperlink ref="S264" r:id="rId788" xr:uid="{00000000-0004-0000-0000-000013030000}"/>
    <hyperlink ref="T264" r:id="rId789" xr:uid="{00000000-0004-0000-0000-000014030000}"/>
    <hyperlink ref="R265" r:id="rId790" xr:uid="{00000000-0004-0000-0000-000015030000}"/>
    <hyperlink ref="S265" r:id="rId791" xr:uid="{00000000-0004-0000-0000-000016030000}"/>
    <hyperlink ref="T265" r:id="rId792" xr:uid="{00000000-0004-0000-0000-00001703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1"/>
  <sheetViews>
    <sheetView workbookViewId="0">
      <pane xSplit="1" ySplit="1" topLeftCell="K2" activePane="bottomRight" state="frozen"/>
      <selection pane="topRight"/>
      <selection pane="bottomLeft"/>
      <selection pane="bottomRight" activeCell="I2" sqref="I2"/>
    </sheetView>
  </sheetViews>
  <sheetFormatPr defaultRowHeight="14.4" x14ac:dyDescent="0.3"/>
  <cols>
    <col min="1" max="1" width="12" customWidth="1"/>
    <col min="2" max="2" width="15" customWidth="1"/>
    <col min="3" max="5" width="12" customWidth="1"/>
    <col min="6" max="6" width="15" customWidth="1"/>
    <col min="7" max="8" width="12" customWidth="1"/>
    <col min="9" max="9" width="23" customWidth="1"/>
    <col min="10" max="10" width="14" customWidth="1"/>
    <col min="11" max="11" width="17" customWidth="1"/>
    <col min="12" max="12" width="12" customWidth="1"/>
  </cols>
  <sheetData>
    <row r="1" spans="1:12" x14ac:dyDescent="0.3">
      <c r="A1" s="1" t="s">
        <v>3</v>
      </c>
      <c r="B1" s="1" t="s">
        <v>774</v>
      </c>
      <c r="C1" s="1" t="s">
        <v>0</v>
      </c>
      <c r="D1" s="1" t="s">
        <v>775</v>
      </c>
      <c r="E1" s="1" t="s">
        <v>776</v>
      </c>
      <c r="F1" s="1" t="s">
        <v>777</v>
      </c>
      <c r="G1" s="1" t="s">
        <v>778</v>
      </c>
      <c r="H1" s="1" t="s">
        <v>779</v>
      </c>
      <c r="I1" s="1" t="s">
        <v>780</v>
      </c>
      <c r="J1" s="1" t="s">
        <v>20</v>
      </c>
      <c r="K1" s="1" t="s">
        <v>21</v>
      </c>
      <c r="L1" s="1" t="s">
        <v>25</v>
      </c>
    </row>
    <row r="2" spans="1:12" x14ac:dyDescent="0.3">
      <c r="A2" t="s">
        <v>45</v>
      </c>
      <c r="B2">
        <v>13</v>
      </c>
      <c r="C2" t="s">
        <v>781</v>
      </c>
      <c r="D2" t="s">
        <v>782</v>
      </c>
      <c r="E2" t="s">
        <v>783</v>
      </c>
      <c r="F2">
        <v>28.643899999999999</v>
      </c>
      <c r="G2">
        <v>-7.8968150000000001</v>
      </c>
      <c r="H2">
        <v>110.052038</v>
      </c>
      <c r="I2" s="2" t="s">
        <v>784</v>
      </c>
      <c r="J2" s="3"/>
      <c r="K2" s="3"/>
      <c r="L2" s="3"/>
    </row>
    <row r="3" spans="1:12" x14ac:dyDescent="0.3">
      <c r="A3" t="s">
        <v>53</v>
      </c>
      <c r="B3">
        <v>7</v>
      </c>
      <c r="C3" t="s">
        <v>785</v>
      </c>
      <c r="D3" t="s">
        <v>786</v>
      </c>
      <c r="E3" t="s">
        <v>54</v>
      </c>
      <c r="F3">
        <v>28.2746</v>
      </c>
      <c r="G3">
        <v>-7.9052069999999999</v>
      </c>
      <c r="H3">
        <v>110.07132799999999</v>
      </c>
      <c r="I3" s="2" t="s">
        <v>787</v>
      </c>
      <c r="J3" s="3"/>
      <c r="K3" s="3"/>
      <c r="L3" s="3"/>
    </row>
    <row r="4" spans="1:12" x14ac:dyDescent="0.3">
      <c r="A4" t="s">
        <v>28</v>
      </c>
      <c r="B4">
        <v>6</v>
      </c>
      <c r="C4" t="s">
        <v>788</v>
      </c>
      <c r="D4" t="s">
        <v>786</v>
      </c>
      <c r="E4" t="s">
        <v>789</v>
      </c>
      <c r="F4">
        <v>17.900700000000001</v>
      </c>
      <c r="G4">
        <v>-7.8801889999999997</v>
      </c>
      <c r="H4">
        <v>110.144598</v>
      </c>
      <c r="I4" s="2" t="s">
        <v>790</v>
      </c>
      <c r="J4" s="3"/>
      <c r="K4" s="3"/>
      <c r="L4" s="3"/>
    </row>
    <row r="5" spans="1:12" x14ac:dyDescent="0.3">
      <c r="A5" t="s">
        <v>60</v>
      </c>
      <c r="B5">
        <v>4</v>
      </c>
      <c r="C5" t="s">
        <v>791</v>
      </c>
      <c r="D5" t="s">
        <v>786</v>
      </c>
      <c r="E5" t="s">
        <v>61</v>
      </c>
      <c r="F5">
        <v>13.019399999999999</v>
      </c>
      <c r="G5">
        <v>-7.8719049999999999</v>
      </c>
      <c r="H5">
        <v>110.148016</v>
      </c>
      <c r="I5" s="2" t="s">
        <v>792</v>
      </c>
      <c r="J5" s="3"/>
      <c r="K5" s="3"/>
      <c r="L5" s="3"/>
    </row>
    <row r="6" spans="1:12" x14ac:dyDescent="0.3">
      <c r="A6" t="s">
        <v>74</v>
      </c>
      <c r="B6">
        <v>4</v>
      </c>
      <c r="C6" t="s">
        <v>793</v>
      </c>
      <c r="D6" t="s">
        <v>786</v>
      </c>
      <c r="E6" t="s">
        <v>794</v>
      </c>
      <c r="F6">
        <v>7.9038000000000004</v>
      </c>
      <c r="G6">
        <v>-7.8606389999999999</v>
      </c>
      <c r="H6">
        <v>110.167767</v>
      </c>
      <c r="I6" s="2" t="s">
        <v>795</v>
      </c>
      <c r="J6" s="3"/>
      <c r="K6" s="3"/>
      <c r="L6" s="3"/>
    </row>
    <row r="7" spans="1:12" x14ac:dyDescent="0.3">
      <c r="A7" t="s">
        <v>170</v>
      </c>
      <c r="B7">
        <v>4</v>
      </c>
      <c r="C7" t="s">
        <v>796</v>
      </c>
      <c r="D7" t="s">
        <v>782</v>
      </c>
      <c r="E7" t="s">
        <v>171</v>
      </c>
      <c r="F7">
        <v>13.4268</v>
      </c>
      <c r="G7">
        <v>-7.9132160000000002</v>
      </c>
      <c r="H7">
        <v>110.22935</v>
      </c>
      <c r="I7" s="2" t="s">
        <v>797</v>
      </c>
      <c r="J7" s="3"/>
      <c r="K7" s="3"/>
      <c r="L7" s="3"/>
    </row>
    <row r="8" spans="1:12" x14ac:dyDescent="0.3">
      <c r="A8" t="s">
        <v>196</v>
      </c>
      <c r="B8">
        <v>4</v>
      </c>
      <c r="C8" t="s">
        <v>798</v>
      </c>
      <c r="D8" t="s">
        <v>799</v>
      </c>
      <c r="E8" t="s">
        <v>800</v>
      </c>
      <c r="F8">
        <v>82.112899999999996</v>
      </c>
      <c r="G8">
        <v>-7.7304329999999997</v>
      </c>
      <c r="H8">
        <v>110.18729399999999</v>
      </c>
      <c r="I8" s="2" t="s">
        <v>801</v>
      </c>
      <c r="J8" s="3"/>
      <c r="K8" s="3"/>
      <c r="L8" s="3"/>
    </row>
    <row r="9" spans="1:12" x14ac:dyDescent="0.3">
      <c r="A9" t="s">
        <v>80</v>
      </c>
      <c r="B9">
        <v>3</v>
      </c>
      <c r="C9" t="s">
        <v>802</v>
      </c>
      <c r="D9" t="s">
        <v>799</v>
      </c>
      <c r="E9" t="s">
        <v>81</v>
      </c>
      <c r="F9">
        <v>10.4574</v>
      </c>
      <c r="G9">
        <v>-7.8224770000000001</v>
      </c>
      <c r="H9">
        <v>110.155902</v>
      </c>
      <c r="I9" s="2" t="s">
        <v>803</v>
      </c>
      <c r="J9" s="3"/>
      <c r="K9" s="3"/>
      <c r="L9" s="3"/>
    </row>
    <row r="10" spans="1:12" x14ac:dyDescent="0.3">
      <c r="A10" t="s">
        <v>229</v>
      </c>
      <c r="B10">
        <v>3</v>
      </c>
      <c r="C10" t="s">
        <v>804</v>
      </c>
      <c r="D10" t="s">
        <v>786</v>
      </c>
      <c r="E10" t="s">
        <v>805</v>
      </c>
      <c r="F10">
        <v>50.824800000000003</v>
      </c>
      <c r="G10">
        <v>-7.8955279999999997</v>
      </c>
      <c r="H10">
        <v>110.057484</v>
      </c>
      <c r="I10" s="2" t="s">
        <v>806</v>
      </c>
      <c r="J10" s="3"/>
      <c r="K10" s="3"/>
      <c r="L10" s="3"/>
    </row>
    <row r="11" spans="1:12" x14ac:dyDescent="0.3">
      <c r="A11" t="s">
        <v>235</v>
      </c>
      <c r="B11">
        <v>3</v>
      </c>
      <c r="C11" t="s">
        <v>807</v>
      </c>
      <c r="D11" t="s">
        <v>786</v>
      </c>
      <c r="E11" t="s">
        <v>236</v>
      </c>
      <c r="F11">
        <v>8.0104000000000006</v>
      </c>
      <c r="G11">
        <v>-7.9107560000000001</v>
      </c>
      <c r="H11">
        <v>110.12820600000001</v>
      </c>
      <c r="I11" s="2" t="s">
        <v>808</v>
      </c>
      <c r="J11" s="3"/>
      <c r="K11" s="3"/>
      <c r="L11" s="3"/>
    </row>
    <row r="12" spans="1:12" x14ac:dyDescent="0.3">
      <c r="A12" t="s">
        <v>756</v>
      </c>
      <c r="B12">
        <v>3</v>
      </c>
      <c r="C12" t="s">
        <v>809</v>
      </c>
      <c r="D12" t="s">
        <v>683</v>
      </c>
      <c r="E12" t="s">
        <v>757</v>
      </c>
      <c r="F12">
        <v>7.9976000000000003</v>
      </c>
      <c r="G12">
        <v>-7.8936679999999999</v>
      </c>
      <c r="H12">
        <v>110.176017</v>
      </c>
      <c r="I12" s="2" t="s">
        <v>810</v>
      </c>
      <c r="J12" s="3"/>
      <c r="K12" s="3"/>
      <c r="L12" s="3"/>
    </row>
    <row r="13" spans="1:12" x14ac:dyDescent="0.3">
      <c r="A13" t="s">
        <v>66</v>
      </c>
      <c r="B13">
        <v>2</v>
      </c>
      <c r="C13" t="s">
        <v>811</v>
      </c>
      <c r="D13" t="s">
        <v>786</v>
      </c>
      <c r="E13" t="s">
        <v>67</v>
      </c>
      <c r="F13">
        <v>11.074299999999999</v>
      </c>
      <c r="G13">
        <v>-7.826263</v>
      </c>
      <c r="H13">
        <v>110.16466200000001</v>
      </c>
      <c r="I13" s="2" t="s">
        <v>812</v>
      </c>
      <c r="J13" s="3"/>
      <c r="K13" s="3"/>
      <c r="L13" s="3"/>
    </row>
    <row r="14" spans="1:12" x14ac:dyDescent="0.3">
      <c r="A14" t="s">
        <v>190</v>
      </c>
      <c r="B14">
        <v>2</v>
      </c>
      <c r="C14" t="s">
        <v>813</v>
      </c>
      <c r="D14" t="s">
        <v>799</v>
      </c>
      <c r="E14" t="s">
        <v>191</v>
      </c>
      <c r="F14">
        <v>16.735099999999999</v>
      </c>
      <c r="G14">
        <v>-7.6928330000000003</v>
      </c>
      <c r="H14">
        <v>110.154498</v>
      </c>
      <c r="I14" s="2" t="s">
        <v>814</v>
      </c>
      <c r="J14" s="3"/>
      <c r="K14" s="3"/>
      <c r="L14" s="3"/>
    </row>
    <row r="15" spans="1:12" x14ac:dyDescent="0.3">
      <c r="A15" t="s">
        <v>316</v>
      </c>
      <c r="B15">
        <v>2</v>
      </c>
      <c r="C15" t="s">
        <v>815</v>
      </c>
      <c r="D15" t="s">
        <v>786</v>
      </c>
      <c r="E15" t="s">
        <v>317</v>
      </c>
      <c r="F15">
        <v>36.596200000000003</v>
      </c>
      <c r="G15">
        <v>-7.9092890000000002</v>
      </c>
      <c r="H15">
        <v>110.076956</v>
      </c>
      <c r="I15" s="2" t="s">
        <v>816</v>
      </c>
      <c r="J15" s="3"/>
      <c r="K15" s="3"/>
      <c r="L15" s="3"/>
    </row>
    <row r="16" spans="1:12" x14ac:dyDescent="0.3">
      <c r="A16" t="s">
        <v>690</v>
      </c>
      <c r="B16">
        <v>1</v>
      </c>
      <c r="C16" t="s">
        <v>817</v>
      </c>
      <c r="D16" t="s">
        <v>683</v>
      </c>
      <c r="E16" t="s">
        <v>185</v>
      </c>
      <c r="F16">
        <v>31.657299999999999</v>
      </c>
      <c r="G16">
        <v>-7.7832699999999999</v>
      </c>
      <c r="H16">
        <v>110.14933000000001</v>
      </c>
      <c r="I16" s="2" t="s">
        <v>818</v>
      </c>
      <c r="J16" s="3"/>
      <c r="K16" s="3"/>
      <c r="L16" s="3"/>
    </row>
    <row r="17" spans="1:12" x14ac:dyDescent="0.3">
      <c r="A17" t="s">
        <v>109</v>
      </c>
      <c r="B17">
        <v>1</v>
      </c>
      <c r="C17" t="s">
        <v>819</v>
      </c>
      <c r="D17" t="s">
        <v>799</v>
      </c>
      <c r="E17" t="s">
        <v>110</v>
      </c>
      <c r="F17">
        <v>17.816600000000001</v>
      </c>
      <c r="G17">
        <v>-7.766114</v>
      </c>
      <c r="H17">
        <v>110.16387400000001</v>
      </c>
      <c r="I17" s="2" t="s">
        <v>820</v>
      </c>
      <c r="J17" s="3"/>
      <c r="K17" s="3"/>
      <c r="L17" s="3"/>
    </row>
    <row r="18" spans="1:12" x14ac:dyDescent="0.3">
      <c r="A18" t="s">
        <v>122</v>
      </c>
      <c r="B18">
        <v>1</v>
      </c>
      <c r="C18" t="s">
        <v>821</v>
      </c>
      <c r="D18" t="s">
        <v>786</v>
      </c>
      <c r="E18" t="s">
        <v>123</v>
      </c>
      <c r="F18">
        <v>8.3030000000000008</v>
      </c>
      <c r="G18">
        <v>-7.8439199999999998</v>
      </c>
      <c r="H18">
        <v>110.174604</v>
      </c>
      <c r="I18" s="2" t="s">
        <v>822</v>
      </c>
      <c r="J18" s="3"/>
      <c r="K18" s="3"/>
      <c r="L18" s="3"/>
    </row>
    <row r="19" spans="1:12" x14ac:dyDescent="0.3">
      <c r="A19" t="s">
        <v>131</v>
      </c>
      <c r="B19">
        <v>1</v>
      </c>
      <c r="C19" t="s">
        <v>823</v>
      </c>
      <c r="D19" t="s">
        <v>782</v>
      </c>
      <c r="E19" t="s">
        <v>132</v>
      </c>
      <c r="F19">
        <v>12.2272</v>
      </c>
      <c r="G19">
        <v>-7.7607280000000003</v>
      </c>
      <c r="H19">
        <v>110.184742</v>
      </c>
      <c r="I19" s="2" t="s">
        <v>824</v>
      </c>
      <c r="J19" s="3"/>
      <c r="K19" s="3"/>
      <c r="L19" s="3"/>
    </row>
    <row r="20" spans="1:12" x14ac:dyDescent="0.3">
      <c r="A20" t="s">
        <v>147</v>
      </c>
      <c r="B20">
        <v>1</v>
      </c>
      <c r="C20" t="s">
        <v>825</v>
      </c>
      <c r="D20" t="s">
        <v>799</v>
      </c>
      <c r="E20" t="s">
        <v>148</v>
      </c>
      <c r="F20">
        <v>17.314</v>
      </c>
      <c r="G20">
        <v>-7.8211810000000002</v>
      </c>
      <c r="H20">
        <v>110.11206799999999</v>
      </c>
      <c r="I20" s="2" t="s">
        <v>826</v>
      </c>
      <c r="J20" s="3"/>
      <c r="K20" s="3"/>
      <c r="L20" s="3"/>
    </row>
    <row r="21" spans="1:12" x14ac:dyDescent="0.3">
      <c r="A21" t="s">
        <v>163</v>
      </c>
      <c r="B21">
        <v>1</v>
      </c>
      <c r="C21" t="s">
        <v>827</v>
      </c>
      <c r="D21" t="s">
        <v>799</v>
      </c>
      <c r="E21" t="s">
        <v>164</v>
      </c>
      <c r="F21">
        <v>10.887600000000001</v>
      </c>
      <c r="G21">
        <v>-7.8031740000000003</v>
      </c>
      <c r="H21">
        <v>110.152011</v>
      </c>
      <c r="I21" s="2" t="s">
        <v>828</v>
      </c>
      <c r="J21" s="3"/>
      <c r="K21" s="3"/>
      <c r="L21" s="3"/>
    </row>
    <row r="22" spans="1:12" x14ac:dyDescent="0.3">
      <c r="A22" t="s">
        <v>570</v>
      </c>
      <c r="B22">
        <v>1</v>
      </c>
      <c r="C22" t="s">
        <v>829</v>
      </c>
      <c r="D22" t="s">
        <v>469</v>
      </c>
      <c r="E22" t="s">
        <v>571</v>
      </c>
      <c r="F22">
        <v>6.2488999999999999</v>
      </c>
      <c r="G22">
        <v>-7.8575650000000001</v>
      </c>
      <c r="H22">
        <v>110.215394</v>
      </c>
      <c r="I22" s="2" t="s">
        <v>830</v>
      </c>
      <c r="J22" s="3"/>
      <c r="K22" s="3"/>
      <c r="L22" s="3"/>
    </row>
    <row r="23" spans="1:12" x14ac:dyDescent="0.3">
      <c r="A23" t="s">
        <v>177</v>
      </c>
      <c r="B23">
        <v>1</v>
      </c>
      <c r="C23" t="s">
        <v>831</v>
      </c>
      <c r="D23" t="s">
        <v>799</v>
      </c>
      <c r="E23" t="s">
        <v>178</v>
      </c>
      <c r="F23">
        <v>7.4991000000000003</v>
      </c>
      <c r="G23">
        <v>-7.8139409999999998</v>
      </c>
      <c r="H23">
        <v>110.11027</v>
      </c>
      <c r="I23" s="2" t="s">
        <v>832</v>
      </c>
      <c r="J23" s="3"/>
      <c r="K23" s="3"/>
      <c r="L23" s="3"/>
    </row>
    <row r="24" spans="1:12" x14ac:dyDescent="0.3">
      <c r="A24" t="s">
        <v>184</v>
      </c>
      <c r="B24">
        <v>1</v>
      </c>
      <c r="C24" t="s">
        <v>833</v>
      </c>
      <c r="D24" t="s">
        <v>799</v>
      </c>
      <c r="E24" t="s">
        <v>185</v>
      </c>
      <c r="F24">
        <v>6.9667000000000003</v>
      </c>
      <c r="G24">
        <v>-7.7895979999999998</v>
      </c>
      <c r="H24">
        <v>110.147503</v>
      </c>
      <c r="I24" s="2" t="s">
        <v>834</v>
      </c>
      <c r="J24" s="3"/>
      <c r="K24" s="3"/>
      <c r="L24" s="3"/>
    </row>
    <row r="25" spans="1:12" x14ac:dyDescent="0.3">
      <c r="A25" t="s">
        <v>730</v>
      </c>
      <c r="B25">
        <v>1</v>
      </c>
      <c r="C25" t="s">
        <v>835</v>
      </c>
      <c r="D25" t="s">
        <v>683</v>
      </c>
      <c r="E25" t="s">
        <v>731</v>
      </c>
      <c r="F25">
        <v>20.7776</v>
      </c>
      <c r="G25">
        <v>-7.7029589999999999</v>
      </c>
      <c r="H25">
        <v>110.24923</v>
      </c>
      <c r="I25" s="2" t="s">
        <v>836</v>
      </c>
      <c r="J25" s="3"/>
      <c r="K25" s="3"/>
      <c r="L25" s="3"/>
    </row>
    <row r="26" spans="1:12" x14ac:dyDescent="0.3">
      <c r="A26" t="s">
        <v>202</v>
      </c>
      <c r="B26">
        <v>1</v>
      </c>
      <c r="C26" t="s">
        <v>837</v>
      </c>
      <c r="D26" t="s">
        <v>799</v>
      </c>
      <c r="E26" t="s">
        <v>203</v>
      </c>
      <c r="F26">
        <v>33.589700000000001</v>
      </c>
      <c r="G26">
        <v>-7.7552830000000004</v>
      </c>
      <c r="H26">
        <v>110.175684</v>
      </c>
      <c r="I26" s="2" t="s">
        <v>838</v>
      </c>
      <c r="J26" s="3"/>
      <c r="K26" s="3"/>
      <c r="L26" s="3"/>
    </row>
    <row r="27" spans="1:12" x14ac:dyDescent="0.3">
      <c r="A27" t="s">
        <v>252</v>
      </c>
      <c r="B27">
        <v>1</v>
      </c>
      <c r="C27" t="s">
        <v>839</v>
      </c>
      <c r="D27" t="s">
        <v>799</v>
      </c>
      <c r="E27" t="s">
        <v>253</v>
      </c>
      <c r="F27">
        <v>41.603000000000002</v>
      </c>
      <c r="G27">
        <v>-7.647678</v>
      </c>
      <c r="H27">
        <v>110.190398</v>
      </c>
      <c r="I27" s="2" t="s">
        <v>840</v>
      </c>
      <c r="J27" s="3"/>
      <c r="K27" s="3"/>
      <c r="L27" s="3"/>
    </row>
    <row r="28" spans="1:12" x14ac:dyDescent="0.3">
      <c r="A28" t="s">
        <v>750</v>
      </c>
      <c r="B28">
        <v>1</v>
      </c>
      <c r="C28" t="s">
        <v>841</v>
      </c>
      <c r="D28" t="s">
        <v>683</v>
      </c>
      <c r="E28" t="s">
        <v>695</v>
      </c>
      <c r="F28">
        <v>18.5122</v>
      </c>
      <c r="G28">
        <v>-7.6910949999999998</v>
      </c>
      <c r="H28">
        <v>110.191222</v>
      </c>
      <c r="I28" s="2" t="s">
        <v>842</v>
      </c>
      <c r="J28" s="3"/>
      <c r="K28" s="3"/>
      <c r="L28" s="3"/>
    </row>
    <row r="29" spans="1:12" x14ac:dyDescent="0.3">
      <c r="A29" t="s">
        <v>259</v>
      </c>
      <c r="B29">
        <v>1</v>
      </c>
      <c r="C29" t="s">
        <v>843</v>
      </c>
      <c r="D29" t="s">
        <v>786</v>
      </c>
      <c r="E29" t="s">
        <v>260</v>
      </c>
      <c r="F29">
        <v>7.0517000000000003</v>
      </c>
      <c r="G29">
        <v>-7.9008330000000004</v>
      </c>
      <c r="H29">
        <v>110.140927</v>
      </c>
      <c r="I29" s="2" t="s">
        <v>844</v>
      </c>
      <c r="J29" s="3"/>
      <c r="K29" s="3"/>
      <c r="L29" s="3"/>
    </row>
    <row r="30" spans="1:12" x14ac:dyDescent="0.3">
      <c r="A30" t="s">
        <v>269</v>
      </c>
      <c r="B30">
        <v>1</v>
      </c>
      <c r="C30" t="s">
        <v>845</v>
      </c>
      <c r="D30" t="s">
        <v>799</v>
      </c>
      <c r="E30" t="s">
        <v>270</v>
      </c>
      <c r="F30">
        <v>14.2164</v>
      </c>
      <c r="G30">
        <v>-7.7154790000000002</v>
      </c>
      <c r="H30">
        <v>110.172134</v>
      </c>
      <c r="I30" s="2" t="s">
        <v>846</v>
      </c>
      <c r="J30" s="3"/>
      <c r="K30" s="3"/>
      <c r="L30" s="3"/>
    </row>
    <row r="31" spans="1:12" x14ac:dyDescent="0.3">
      <c r="A31" t="s">
        <v>769</v>
      </c>
      <c r="B31">
        <v>1</v>
      </c>
      <c r="C31" t="s">
        <v>847</v>
      </c>
      <c r="D31" t="s">
        <v>683</v>
      </c>
      <c r="E31" t="s">
        <v>602</v>
      </c>
      <c r="F31">
        <v>8.3655000000000008</v>
      </c>
      <c r="G31">
        <v>-7.9235759999999997</v>
      </c>
      <c r="H31">
        <v>110.207105</v>
      </c>
      <c r="I31" s="2" t="s">
        <v>848</v>
      </c>
      <c r="J31" s="3"/>
      <c r="K31" s="3"/>
      <c r="L31" s="3"/>
    </row>
  </sheetData>
  <dataValidations count="1">
    <dataValidation type="list" allowBlank="1" sqref="J2:J31 K2:K31" xr:uid="{00000000-0002-0000-0100-000000000000}">
      <formula1>"A Sungai/waduk,B Kawasan tertutup/bandara,C Topografi perbukitan,D Jaringan jalan memang jarang,E Jaringan OSM tidak lengkap,F Kesalahan snapping,G Penutupan ruas akibat banjir,H TES lebih dekat tidak tercatat,I Belum terjelaskan"</formula1>
    </dataValidation>
  </dataValidations>
  <hyperlinks>
    <hyperlink ref="I2" r:id="rId1" xr:uid="{00000000-0004-0000-0100-000000000000}"/>
    <hyperlink ref="I3" r:id="rId2" xr:uid="{00000000-0004-0000-0100-000001000000}"/>
    <hyperlink ref="I4" r:id="rId3" xr:uid="{00000000-0004-0000-0100-000002000000}"/>
    <hyperlink ref="I5" r:id="rId4" xr:uid="{00000000-0004-0000-0100-000003000000}"/>
    <hyperlink ref="I6" r:id="rId5" xr:uid="{00000000-0004-0000-0100-000004000000}"/>
    <hyperlink ref="I7" r:id="rId6" xr:uid="{00000000-0004-0000-0100-000005000000}"/>
    <hyperlink ref="I8" r:id="rId7" xr:uid="{00000000-0004-0000-0100-000006000000}"/>
    <hyperlink ref="I9" r:id="rId8" xr:uid="{00000000-0004-0000-0100-000007000000}"/>
    <hyperlink ref="I10" r:id="rId9" xr:uid="{00000000-0004-0000-0100-000008000000}"/>
    <hyperlink ref="I11" r:id="rId10" xr:uid="{00000000-0004-0000-0100-000009000000}"/>
    <hyperlink ref="I12" r:id="rId11" xr:uid="{00000000-0004-0000-0100-00000A000000}"/>
    <hyperlink ref="I13" r:id="rId12" xr:uid="{00000000-0004-0000-0100-00000B000000}"/>
    <hyperlink ref="I14" r:id="rId13" xr:uid="{00000000-0004-0000-0100-00000C000000}"/>
    <hyperlink ref="I15" r:id="rId14" xr:uid="{00000000-0004-0000-0100-00000D000000}"/>
    <hyperlink ref="I16" r:id="rId15" xr:uid="{00000000-0004-0000-0100-00000E000000}"/>
    <hyperlink ref="I17" r:id="rId16" xr:uid="{00000000-0004-0000-0100-00000F000000}"/>
    <hyperlink ref="I18" r:id="rId17" xr:uid="{00000000-0004-0000-0100-000010000000}"/>
    <hyperlink ref="I19" r:id="rId18" xr:uid="{00000000-0004-0000-0100-000011000000}"/>
    <hyperlink ref="I20" r:id="rId19" xr:uid="{00000000-0004-0000-0100-000012000000}"/>
    <hyperlink ref="I21" r:id="rId20" xr:uid="{00000000-0004-0000-0100-000013000000}"/>
    <hyperlink ref="I22" r:id="rId21" xr:uid="{00000000-0004-0000-0100-000014000000}"/>
    <hyperlink ref="I23" r:id="rId22" xr:uid="{00000000-0004-0000-0100-000015000000}"/>
    <hyperlink ref="I24" r:id="rId23" xr:uid="{00000000-0004-0000-0100-000016000000}"/>
    <hyperlink ref="I25" r:id="rId24" xr:uid="{00000000-0004-0000-0100-000017000000}"/>
    <hyperlink ref="I26" r:id="rId25" xr:uid="{00000000-0004-0000-0100-000018000000}"/>
    <hyperlink ref="I27" r:id="rId26" xr:uid="{00000000-0004-0000-0100-000019000000}"/>
    <hyperlink ref="I28" r:id="rId27" xr:uid="{00000000-0004-0000-0100-00001A000000}"/>
    <hyperlink ref="I29" r:id="rId28" xr:uid="{00000000-0004-0000-0100-00001B000000}"/>
    <hyperlink ref="I30" r:id="rId29" xr:uid="{00000000-0004-0000-0100-00001C000000}"/>
    <hyperlink ref="I31" r:id="rId30" xr:uid="{00000000-0004-0000-0100-00001D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5"/>
  <sheetViews>
    <sheetView topLeftCell="A7" workbookViewId="0">
      <selection activeCell="A18" sqref="A18"/>
    </sheetView>
  </sheetViews>
  <sheetFormatPr defaultRowHeight="14.4" x14ac:dyDescent="0.3"/>
  <cols>
    <col min="1" max="1" width="130" customWidth="1"/>
  </cols>
  <sheetData>
    <row r="1" spans="1:1" x14ac:dyDescent="0.3">
      <c r="A1" t="s">
        <v>849</v>
      </c>
    </row>
    <row r="2" spans="1:1" x14ac:dyDescent="0.3">
      <c r="A2" t="s">
        <v>850</v>
      </c>
    </row>
    <row r="4" spans="1:1" x14ac:dyDescent="0.3">
      <c r="A4" t="s">
        <v>851</v>
      </c>
    </row>
    <row r="5" spans="1:1" x14ac:dyDescent="0.3">
      <c r="A5" t="s">
        <v>852</v>
      </c>
    </row>
    <row r="6" spans="1:1" x14ac:dyDescent="0.3">
      <c r="A6" t="s">
        <v>853</v>
      </c>
    </row>
    <row r="7" spans="1:1" x14ac:dyDescent="0.3">
      <c r="A7" t="s">
        <v>854</v>
      </c>
    </row>
    <row r="8" spans="1:1" x14ac:dyDescent="0.3">
      <c r="A8" t="s">
        <v>855</v>
      </c>
    </row>
    <row r="9" spans="1:1" x14ac:dyDescent="0.3">
      <c r="A9" t="s">
        <v>856</v>
      </c>
    </row>
    <row r="10" spans="1:1" x14ac:dyDescent="0.3">
      <c r="A10" t="s">
        <v>857</v>
      </c>
    </row>
    <row r="11" spans="1:1" x14ac:dyDescent="0.3">
      <c r="A11" t="s">
        <v>858</v>
      </c>
    </row>
    <row r="12" spans="1:1" x14ac:dyDescent="0.3">
      <c r="A12" t="s">
        <v>859</v>
      </c>
    </row>
    <row r="13" spans="1:1" x14ac:dyDescent="0.3">
      <c r="A13" t="s">
        <v>860</v>
      </c>
    </row>
    <row r="15" spans="1:1" x14ac:dyDescent="0.3">
      <c r="A15" t="s">
        <v>861</v>
      </c>
    </row>
    <row r="16" spans="1:1" x14ac:dyDescent="0.3">
      <c r="A16" t="s">
        <v>862</v>
      </c>
    </row>
    <row r="18" spans="1:1" x14ac:dyDescent="0.3">
      <c r="A18" t="s">
        <v>863</v>
      </c>
    </row>
    <row r="19" spans="1:1" x14ac:dyDescent="0.3">
      <c r="A19" t="s">
        <v>864</v>
      </c>
    </row>
    <row r="20" spans="1:1" x14ac:dyDescent="0.3">
      <c r="A20" t="s">
        <v>865</v>
      </c>
    </row>
    <row r="21" spans="1:1" x14ac:dyDescent="0.3">
      <c r="A21" t="s">
        <v>866</v>
      </c>
    </row>
    <row r="22" spans="1:1" x14ac:dyDescent="0.3">
      <c r="A22" t="s">
        <v>867</v>
      </c>
    </row>
    <row r="23" spans="1:1" x14ac:dyDescent="0.3">
      <c r="A23" t="s">
        <v>868</v>
      </c>
    </row>
    <row r="25" spans="1:1" x14ac:dyDescent="0.3">
      <c r="A25" t="s">
        <v>869</v>
      </c>
    </row>
    <row r="26" spans="1:1" x14ac:dyDescent="0.3">
      <c r="A26" t="s">
        <v>870</v>
      </c>
    </row>
    <row r="27" spans="1:1" x14ac:dyDescent="0.3">
      <c r="A27" t="s">
        <v>871</v>
      </c>
    </row>
    <row r="28" spans="1:1" x14ac:dyDescent="0.3">
      <c r="A28" t="s">
        <v>872</v>
      </c>
    </row>
    <row r="29" spans="1:1" x14ac:dyDescent="0.3">
      <c r="A29" t="s">
        <v>873</v>
      </c>
    </row>
    <row r="30" spans="1:1" x14ac:dyDescent="0.3">
      <c r="A30" t="s">
        <v>874</v>
      </c>
    </row>
    <row r="32" spans="1:1" x14ac:dyDescent="0.3">
      <c r="A32" t="s">
        <v>875</v>
      </c>
    </row>
    <row r="34" spans="1:1" x14ac:dyDescent="0.3">
      <c r="A34" t="s">
        <v>876</v>
      </c>
    </row>
    <row r="35" spans="1:1" x14ac:dyDescent="0.3">
      <c r="A35" t="s">
        <v>877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Validasi TAS</vt:lpstr>
      <vt:lpstr>Hotspot</vt:lpstr>
      <vt:lpstr>Petunjuk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ASUS TUF GAMING</cp:lastModifiedBy>
  <dcterms:created xsi:type="dcterms:W3CDTF">2026-09-25T05:32:14Z</dcterms:created>
  <dcterms:modified xsi:type="dcterms:W3CDTF">2026-09-25T08:47:47Z</dcterms:modified>
</cp:coreProperties>
</file>